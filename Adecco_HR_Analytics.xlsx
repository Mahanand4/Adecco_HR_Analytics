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739d33f381c207/Desktop/"/>
    </mc:Choice>
  </mc:AlternateContent>
  <xr:revisionPtr revIDLastSave="0" documentId="8_{6D1EE5FE-5997-4423-9179-F021B42F824D}" xr6:coauthVersionLast="47" xr6:coauthVersionMax="47" xr10:uidLastSave="{00000000-0000-0000-0000-000000000000}"/>
  <bookViews>
    <workbookView xWindow="-108" yWindow="-108" windowWidth="23256" windowHeight="12456" xr2:uid="{4E612042-956D-4701-914A-2CC8D171CAC3}"/>
  </bookViews>
  <sheets>
    <sheet name="Sheet1" sheetId="2" r:id="rId1"/>
    <sheet name="Avg_Monthly_Income" sheetId="3" r:id="rId2"/>
    <sheet name="Distance_vs_Attrition" sheetId="4" r:id="rId3"/>
    <sheet name="Performance_Rating" sheetId="5" r:id="rId4"/>
    <sheet name="Correlation_Analysis" sheetId="8" r:id="rId5"/>
    <sheet name="Insights" sheetId="9" r:id="rId6"/>
    <sheet name="OverTime" sheetId="6" r:id="rId7"/>
    <sheet name="Avg_YearsAtCompany" sheetId="7" r:id="rId8"/>
    <sheet name="JobInvolvement_Attrition" sheetId="11" r:id="rId9"/>
    <sheet name="MaritalStatus_Attrition" sheetId="13" r:id="rId10"/>
    <sheet name="Training_Attrition" sheetId="14" r:id="rId11"/>
    <sheet name="StockOption_Attrition" sheetId="15" r:id="rId12"/>
    <sheet name="BusinessTravel_JobSatisfaction" sheetId="16" r:id="rId13"/>
    <sheet name="WA_Fn-UseC_-HR-Employee-Attriti" sheetId="1" r:id="rId14"/>
  </sheets>
  <definedNames>
    <definedName name="_xlnm._FilterDatabase" localSheetId="13" hidden="1">'WA_Fn-UseC_-HR-Employee-Attriti'!$A$1:$AI$1471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" l="1"/>
  <c r="J6" i="11"/>
  <c r="J7" i="11"/>
  <c r="J4" i="11"/>
  <c r="B4" i="8"/>
  <c r="B3" i="8"/>
  <c r="B2" i="8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2" i="1"/>
  <c r="B2" i="7"/>
  <c r="B2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2" i="4"/>
  <c r="AP2" i="1"/>
  <c r="E6" i="2"/>
  <c r="E7" i="2"/>
  <c r="E5" i="2"/>
  <c r="AM2" i="1"/>
  <c r="AL2" i="1"/>
  <c r="AN2" i="1" s="1"/>
  <c r="I24" i="2"/>
  <c r="I23" i="2"/>
  <c r="G8" i="15"/>
  <c r="G7" i="15"/>
  <c r="G6" i="15"/>
  <c r="G5" i="15"/>
  <c r="G11" i="14"/>
  <c r="G10" i="14"/>
  <c r="G9" i="14"/>
  <c r="G8" i="14"/>
  <c r="G7" i="14"/>
  <c r="G6" i="14"/>
  <c r="G5" i="14"/>
  <c r="F7" i="13"/>
  <c r="F6" i="13"/>
  <c r="F5" i="13"/>
</calcChain>
</file>

<file path=xl/sharedStrings.xml><?xml version="1.0" encoding="utf-8"?>
<sst xmlns="http://schemas.openxmlformats.org/spreadsheetml/2006/main" count="14865" uniqueCount="112">
  <si>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</si>
  <si>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</si>
  <si>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</si>
  <si>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</si>
  <si>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</si>
  <si>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</si>
  <si>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</si>
  <si>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</si>
  <si>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</si>
  <si>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</si>
  <si>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</si>
  <si>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</si>
  <si>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</si>
  <si>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</si>
  <si>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</si>
  <si>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</si>
  <si>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</si>
  <si>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</si>
  <si>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</si>
  <si>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</si>
  <si>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</si>
  <si>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</si>
  <si>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</si>
  <si>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</si>
  <si>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</si>
  <si>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</si>
  <si>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</si>
  <si>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</si>
  <si>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</si>
  <si>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</si>
  <si>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</si>
  <si>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</si>
  <si>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</si>
  <si>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</si>
  <si>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</si>
  <si>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</si>
  <si>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</si>
  <si>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</si>
  <si>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</si>
  <si>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</si>
  <si>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</si>
  <si>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</si>
  <si>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</si>
  <si>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</si>
  <si>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</si>
  <si>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</si>
  <si>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</si>
  <si>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</si>
  <si>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</si>
  <si>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</si>
  <si>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</si>
  <si>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</si>
  <si>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</si>
  <si>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</si>
  <si>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</si>
  <si>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</si>
  <si>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</si>
  <si>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</si>
  <si>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</si>
  <si>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</si>
  <si>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</si>
  <si>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</si>
  <si>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Left</t>
  </si>
  <si>
    <t>Total employees</t>
  </si>
  <si>
    <t>Attrition rate(%)</t>
  </si>
  <si>
    <t>Grand Total</t>
  </si>
  <si>
    <t>Column Labels</t>
  </si>
  <si>
    <t>Count of Attrition</t>
  </si>
  <si>
    <t>Departments</t>
  </si>
  <si>
    <t>Attrition Rate (%)</t>
  </si>
  <si>
    <t>Average Age (Attrition = Yes)</t>
  </si>
  <si>
    <t>Average of JobSatisfaction</t>
  </si>
  <si>
    <t>Job Role</t>
  </si>
  <si>
    <t>Attrition Rate(%)</t>
  </si>
  <si>
    <t>Average of MonthlyIncome</t>
  </si>
  <si>
    <t>Attrition_Value</t>
  </si>
  <si>
    <t>Row Labels</t>
  </si>
  <si>
    <t>Count of PerformanceRating</t>
  </si>
  <si>
    <t>Employees Working Overtime</t>
  </si>
  <si>
    <t>Count</t>
  </si>
  <si>
    <t>OverTime = Yes</t>
  </si>
  <si>
    <t>Average</t>
  </si>
  <si>
    <t>Average years  at company</t>
  </si>
  <si>
    <t>Correlation with Attrition</t>
  </si>
  <si>
    <t>Questions</t>
  </si>
  <si>
    <t>Conclusion</t>
  </si>
  <si>
    <t>Top 3 Factors Contributing to Employee Attrition</t>
  </si>
  <si>
    <t>MonthlyIncome (-0.1598), Age (-0.1592), and YearsAtCompany (0.0435) are the top three factors analyzed. MonthlyIncome and Age have a weak negative correlation with attrition, while YearsAtCompany has a very weak positive correlation. Overall, the correlations are weak, indicating that employee attrition is influenced by multiple factors rather than a single factor.</t>
  </si>
  <si>
    <t>Factor</t>
  </si>
  <si>
    <t>Total</t>
  </si>
  <si>
    <t>Attrition decreases as Job Involvement increases. Employees with Job Involvement level 1 have the highest attrition rate (33.73%), while employees with level 4 have the lowest attrition rate (9.03%). This suggests that higher job involvement is associated with better employee retention.</t>
  </si>
  <si>
    <t> Job involvemen &amp; Attrition Rate</t>
  </si>
  <si>
    <t>There is no strong relationship between employee age and job satisfaction. Job satisfaction remains similar across different age group.</t>
  </si>
  <si>
    <t>Marital Status</t>
  </si>
  <si>
    <t>Marital Status Attrition</t>
  </si>
  <si>
    <t>Training Times</t>
  </si>
  <si>
    <t>Training_Attrition</t>
  </si>
  <si>
    <r>
      <t> Employees with </t>
    </r>
    <r>
      <rPr>
        <b/>
        <sz val="12"/>
        <color rgb="FF222222"/>
        <rFont val="Arial"/>
        <family val="2"/>
      </rPr>
      <t>0 training sessions</t>
    </r>
    <r>
      <rPr>
        <sz val="12"/>
        <color rgb="FF222222"/>
        <rFont val="Arial"/>
        <family val="2"/>
      </rPr>
      <t> have the highest attrition rate (27.78%). Employees who receive more training generally have lower attrition rates, suggesting that training may help improve employee retention.</t>
    </r>
  </si>
  <si>
    <t>Single employees have the highest attrition rate (25.53%), followed by married employees (12.48%), while divorced employees have the lowest attrition rate (10.09%). This indicates that single employees are more likely to leave the organization.</t>
  </si>
  <si>
    <t>Relationship B/W Work-Life Balance &amp; Performance Rating</t>
  </si>
  <si>
    <t>There is a slight positive relationship between work-life balance and performance rating. Employees with better work-life balance tend to have similar or slightly higher performance ratings.</t>
  </si>
  <si>
    <t>Stock Option Level</t>
  </si>
  <si>
    <t>Attritin Rate (%)</t>
  </si>
  <si>
    <t>Stock Option Attrition</t>
  </si>
  <si>
    <r>
      <t>Employees with </t>
    </r>
    <r>
      <rPr>
        <b/>
        <sz val="12"/>
        <color rgb="FF222222"/>
        <rFont val="Arial"/>
        <family val="2"/>
      </rPr>
      <t>Stock Option Level 0</t>
    </r>
    <r>
      <rPr>
        <sz val="12"/>
        <color rgb="FF222222"/>
        <rFont val="Arial"/>
        <family val="2"/>
      </rPr>
      <t> have the highest attrition rate (</t>
    </r>
    <r>
      <rPr>
        <b/>
        <sz val="12"/>
        <color rgb="FF222222"/>
        <rFont val="Arial"/>
        <family val="2"/>
      </rPr>
      <t>24.41%</t>
    </r>
    <r>
      <rPr>
        <sz val="12"/>
        <color rgb="FF222222"/>
        <rFont val="Arial"/>
        <family val="2"/>
      </rPr>
      <t>). Employees with </t>
    </r>
    <r>
      <rPr>
        <b/>
        <sz val="12"/>
        <color rgb="FF222222"/>
        <rFont val="Arial"/>
        <family val="2"/>
      </rPr>
      <t>Stock Option Levels 1 and 2</t>
    </r>
    <r>
      <rPr>
        <sz val="12"/>
        <color rgb="FF222222"/>
        <rFont val="Arial"/>
        <family val="2"/>
      </rPr>
      <t> have lower attrition rates, suggesting that providing stock options may help improve employee retention.</t>
    </r>
  </si>
  <si>
    <t>Relationship b/w Years at Company &amp; Job Satisfaction</t>
  </si>
  <si>
    <t>There is no strong relationship between years at the company and job satisfaction. Employees with different lengths of service show varying levels of job satisfaction.</t>
  </si>
  <si>
    <t>Relationship b/w Age &amp; Job satisfaction</t>
  </si>
  <si>
    <t>Business Travel JobSatisfaction</t>
  </si>
  <si>
    <t>The average job satisfaction is very similar across all business travel categories. Employees who travel frequently, travel rarely, or do not travel show only minor differences in job satisfaction.</t>
  </si>
  <si>
    <t>Relationship b/w Years Since Last Promotion &amp; Performance Rating</t>
  </si>
  <si>
    <t>There is no strong relationship between years since the last promotion and performance rating. Employees generally maintain similar performance ratings regardless of the time since their last promotion.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</si>
</sst>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22222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33" borderId="0" xfId="0" applyFill="1"/>
    <xf numFmtId="0" fontId="0" fillId="0" borderId="10" xfId="0" applyBorder="1"/>
    <xf numFmtId="0" fontId="19" fillId="0" borderId="0" xfId="0" applyFont="1"/>
    <xf numFmtId="0" fontId="20" fillId="34" borderId="0" xfId="0" applyFont="1" applyFill="1"/>
    <xf numFmtId="0" fontId="20" fillId="34" borderId="0" xfId="0" applyFont="1" applyFill="1" applyAlignment="1">
      <alignment horizontal="left" vertical="top"/>
    </xf>
    <xf numFmtId="0" fontId="16" fillId="34" borderId="10" xfId="0" applyFont="1" applyFill="1" applyBorder="1"/>
    <xf numFmtId="0" fontId="21" fillId="33" borderId="10" xfId="0" applyFont="1" applyFill="1" applyBorder="1"/>
    <xf numFmtId="9" fontId="0" fillId="0" borderId="10" xfId="1" applyFont="1" applyBorder="1"/>
    <xf numFmtId="0" fontId="0" fillId="0" borderId="10" xfId="0" applyBorder="1" applyAlignment="1">
      <alignment horizontal="left"/>
    </xf>
    <xf numFmtId="2" fontId="0" fillId="0" borderId="10" xfId="0" applyNumberFormat="1" applyBorder="1"/>
    <xf numFmtId="0" fontId="16" fillId="33" borderId="10" xfId="0" applyFont="1" applyFill="1" applyBorder="1"/>
    <xf numFmtId="2" fontId="0" fillId="0" borderId="0" xfId="0" applyNumberFormat="1"/>
    <xf numFmtId="0" fontId="0" fillId="35" borderId="0" xfId="0" applyFill="1"/>
    <xf numFmtId="0" fontId="18" fillId="33" borderId="1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Distance from Home vs</a:t>
            </a:r>
            <a:r>
              <a:rPr lang="en-IN" sz="1200" b="1" baseline="0"/>
              <a:t> Employee Attrition</a:t>
            </a:r>
            <a:endParaRPr lang="en-IN" sz="1200" b="1"/>
          </a:p>
        </c:rich>
      </c:tx>
      <c:layout>
        <c:manualLayout>
          <c:xMode val="edge"/>
          <c:yMode val="edge"/>
          <c:x val="0.1378611111111111"/>
          <c:y val="3.3052378267958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Distance_vs_Attrition!$A$2:$A$1048576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Distance_vs_Attrition!$C$2:$C$1048576</c:f>
              <c:numCache>
                <c:formatCode>General</c:formatCode>
                <c:ptCount val="104857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2-435E-A681-25A38E4CE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86959"/>
        <c:axId val="43382159"/>
      </c:scatterChart>
      <c:valAx>
        <c:axId val="433869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Distance</a:t>
                </a:r>
                <a:r>
                  <a:rPr lang="en-IN" sz="1100" b="1" baseline="0"/>
                  <a:t> From Home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0.39580555555555558"/>
              <c:y val="0.90736320663296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43382159"/>
        <c:crosses val="autoZero"/>
        <c:crossBetween val="midCat"/>
      </c:valAx>
      <c:valAx>
        <c:axId val="43382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Attrition</a:t>
                </a:r>
                <a:r>
                  <a:rPr lang="en-IN" b="1" baseline="0"/>
                  <a:t> (0=No, 1=Yes)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4338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[Adecco_HR_Analytics.xlsx]Performance_Rating!PivotTable4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Distribution</a:t>
            </a:r>
            <a:r>
              <a:rPr lang="en-IN" sz="1100" b="1" baseline="0"/>
              <a:t> of Performance Rating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Performance_Rating!$B$1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Performance_Rating!$A$2:$A$4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Performance_Rating!$B$2:$B$4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D-4021-80E3-19C1C272A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82767"/>
        <c:axId val="87883247"/>
      </c:barChart>
      <c:catAx>
        <c:axId val="87882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Performance Rating</a:t>
                </a:r>
              </a:p>
            </c:rich>
          </c:tx>
          <c:layout>
            <c:manualLayout>
              <c:xMode val="edge"/>
              <c:yMode val="edge"/>
              <c:x val="0.39974868766404192"/>
              <c:y val="0.87507144940215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3247"/>
        <c:crosses val="autoZero"/>
        <c:auto val="1"/>
        <c:lblAlgn val="ctr"/>
        <c:lblOffset val="100"/>
        <c:noMultiLvlLbl val="0"/>
      </c:catAx>
      <c:valAx>
        <c:axId val="878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Number</a:t>
                </a:r>
                <a:r>
                  <a:rPr lang="en-IN" sz="1100" b="1" baseline="0"/>
                  <a:t> of Employees</a:t>
                </a:r>
                <a:endParaRPr lang="en-IN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Relationship b/w Age &amp; Job satisfaction</a:t>
            </a:r>
          </a:p>
        </c:rich>
      </c:tx>
      <c:layout>
        <c:manualLayout>
          <c:xMode val="edge"/>
          <c:yMode val="edge"/>
          <c:x val="0.2535971128608923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'WA_Fn-UseC_-HR-Employee-Attriti'!$Q$1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'WA_Fn-UseC_-HR-Employee-Attriti'!$A$2:$A$1471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'WA_Fn-UseC_-HR-Employee-Attriti'!$Q$2:$Q$1471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5-4FDE-ADF0-CCCCC18B3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441871"/>
        <c:axId val="1748452431"/>
      </c:scatterChart>
      <c:valAx>
        <c:axId val="174844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1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Age</a:t>
                </a:r>
              </a:p>
            </c:rich>
          </c:tx>
          <c:layout>
            <c:manualLayout>
              <c:xMode val="edge"/>
              <c:yMode val="edge"/>
              <c:x val="0.4265682414698162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10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52431"/>
        <c:crosses val="autoZero"/>
        <c:crossBetween val="midCat"/>
      </c:valAx>
      <c:valAx>
        <c:axId val="174845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Job</a:t>
                </a:r>
                <a:r>
                  <a:rPr lang="en-IN" sz="1100" b="1" baseline="0"/>
                  <a:t> Satisfaction</a:t>
                </a:r>
                <a:endParaRPr lang="en-IN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4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Relationship</a:t>
            </a:r>
            <a:r>
              <a:rPr lang="en-IN" sz="1100" b="1" baseline="0"/>
              <a:t> B/W Work-Life Balance &amp; Performance Rating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'WA_Fn-UseC_-HR-Employee-Attriti'!$AE$1</c:f>
              <c:strCache>
                <c:ptCount val="1"/>
                <c:pt idx="0">
                  <c:v>WorkLifeBalance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'WA_Fn-UseC_-HR-Employee-Attriti'!$Y$2:$Y$1471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2-4B05-9557-9EC85355B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741551"/>
        <c:axId val="1715743951"/>
      </c:scatterChart>
      <c:valAx>
        <c:axId val="171574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Work Life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1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43951"/>
        <c:crosses val="autoZero"/>
        <c:crossBetween val="midCat"/>
      </c:valAx>
      <c:valAx>
        <c:axId val="17157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Performance</a:t>
                </a:r>
                <a:r>
                  <a:rPr lang="en-IN" sz="1100" b="1" baseline="0"/>
                  <a:t> Rating</a:t>
                </a:r>
                <a:endParaRPr lang="en-IN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74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Relationship</a:t>
            </a:r>
            <a:r>
              <a:rPr lang="en-US" sz="1050" b="1" baseline="0"/>
              <a:t> b/w Years at Company &amp; Job Satisfaction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'WA_Fn-UseC_-HR-Employee-Attriti'!$AF$1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'WA_Fn-UseC_-HR-Employee-Attriti'!$Q$2:$Q$1471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CE-4E79-B93E-E1411707E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21023"/>
        <c:axId val="333320543"/>
      </c:scatterChart>
      <c:valAx>
        <c:axId val="33332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05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Years At 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05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20543"/>
        <c:crosses val="autoZero"/>
        <c:crossBetween val="midCat"/>
      </c:valAx>
      <c:valAx>
        <c:axId val="3333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5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Job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5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21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Relationship</a:t>
            </a:r>
            <a:r>
              <a:rPr lang="en-US" sz="1100" b="1" baseline="0"/>
              <a:t> b/w Years Since Last Promotion &amp; Performance Rating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'WA_Fn-UseC_-HR-Employee-Attriti'!$AH$1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'WA_Fn-UseC_-HR-Employee-Attriti'!$Y$2:$Y$1471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'WA_Fn-UseC_-HR-Employee-Attriti'!$AH$2:$AH$1471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3-4FB5-B192-37BCBEC03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88543"/>
        <c:axId val="333189023"/>
      </c:scatterChart>
      <c:valAx>
        <c:axId val="33318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Years Since Last Promotion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89023"/>
        <c:crosses val="autoZero"/>
        <c:crossBetween val="midCat"/>
      </c:valAx>
      <c:valAx>
        <c:axId val="3331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1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Performance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10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8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0</xdr:rowOff>
    </xdr:from>
    <xdr:to>
      <xdr:col>11</xdr:col>
      <xdr:colOff>327660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0EEAD-E4F8-94D4-6BDF-086629745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3810</xdr:rowOff>
    </xdr:from>
    <xdr:to>
      <xdr:col>10</xdr:col>
      <xdr:colOff>297180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D31AD-C5D8-06C4-4057-E606AC6A5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49530</xdr:rowOff>
    </xdr:from>
    <xdr:to>
      <xdr:col>41</xdr:col>
      <xdr:colOff>624840</xdr:colOff>
      <xdr:row>20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7AED6-923E-7DE0-73DD-1D5305C2D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30480</xdr:colOff>
      <xdr:row>21</xdr:row>
      <xdr:rowOff>3810</xdr:rowOff>
    </xdr:from>
    <xdr:to>
      <xdr:col>41</xdr:col>
      <xdr:colOff>655320</xdr:colOff>
      <xdr:row>36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91B259-B038-5530-CB33-C183F8E05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601980</xdr:colOff>
      <xdr:row>38</xdr:row>
      <xdr:rowOff>3810</xdr:rowOff>
    </xdr:from>
    <xdr:to>
      <xdr:col>41</xdr:col>
      <xdr:colOff>617220</xdr:colOff>
      <xdr:row>53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FFF94-6053-FE05-BDC0-9CCDE6C8D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7620</xdr:colOff>
      <xdr:row>54</xdr:row>
      <xdr:rowOff>11430</xdr:rowOff>
    </xdr:from>
    <xdr:to>
      <xdr:col>41</xdr:col>
      <xdr:colOff>632460</xdr:colOff>
      <xdr:row>69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F4A88D-768F-1A11-692A-8B4B8D03B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nand4 Shetty" refreshedDate="46228.689517013889" createdVersion="8" refreshedVersion="8" minRefreshableVersion="3" recordCount="1470" xr:uid="{75201D37-D539-40BD-BD0A-63464CFCF33F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s v="Yes"/>
    <n v="11"/>
    <x v="0"/>
    <n v="1"/>
    <n v="80"/>
    <x v="0"/>
    <n v="8"/>
    <x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s v="No"/>
    <n v="23"/>
    <x v="1"/>
    <n v="4"/>
    <n v="80"/>
    <x v="1"/>
    <n v="10"/>
    <x v="1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s v="Yes"/>
    <n v="15"/>
    <x v="0"/>
    <n v="2"/>
    <n v="80"/>
    <x v="0"/>
    <n v="7"/>
    <x v="1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s v="Yes"/>
    <n v="11"/>
    <x v="0"/>
    <n v="3"/>
    <n v="80"/>
    <x v="0"/>
    <n v="8"/>
    <x v="1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s v="No"/>
    <n v="12"/>
    <x v="0"/>
    <n v="4"/>
    <n v="80"/>
    <x v="1"/>
    <n v="6"/>
    <x v="1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s v="No"/>
    <n v="13"/>
    <x v="0"/>
    <n v="3"/>
    <n v="80"/>
    <x v="0"/>
    <n v="8"/>
    <x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s v="Yes"/>
    <n v="20"/>
    <x v="1"/>
    <n v="1"/>
    <n v="80"/>
    <x v="2"/>
    <n v="12"/>
    <x v="1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s v="No"/>
    <n v="22"/>
    <x v="1"/>
    <n v="2"/>
    <n v="80"/>
    <x v="1"/>
    <n v="1"/>
    <x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s v="No"/>
    <n v="21"/>
    <x v="1"/>
    <n v="2"/>
    <n v="80"/>
    <x v="0"/>
    <n v="10"/>
    <x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s v="No"/>
    <n v="13"/>
    <x v="0"/>
    <n v="2"/>
    <n v="80"/>
    <x v="3"/>
    <n v="17"/>
    <x v="1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s v="No"/>
    <n v="13"/>
    <x v="0"/>
    <n v="3"/>
    <n v="80"/>
    <x v="1"/>
    <n v="6"/>
    <x v="3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s v="Yes"/>
    <n v="12"/>
    <x v="0"/>
    <n v="4"/>
    <n v="80"/>
    <x v="0"/>
    <n v="10"/>
    <x v="1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s v="No"/>
    <n v="17"/>
    <x v="0"/>
    <n v="4"/>
    <n v="80"/>
    <x v="1"/>
    <n v="5"/>
    <x v="4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s v="No"/>
    <n v="11"/>
    <x v="0"/>
    <n v="3"/>
    <n v="80"/>
    <x v="1"/>
    <n v="3"/>
    <x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s v="Yes"/>
    <n v="14"/>
    <x v="0"/>
    <n v="2"/>
    <n v="80"/>
    <x v="0"/>
    <n v="6"/>
    <x v="5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s v="No"/>
    <n v="11"/>
    <x v="0"/>
    <n v="3"/>
    <n v="80"/>
    <x v="1"/>
    <n v="10"/>
    <x v="4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s v="Yes"/>
    <n v="12"/>
    <x v="0"/>
    <n v="4"/>
    <n v="80"/>
    <x v="3"/>
    <n v="7"/>
    <x v="3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s v="Yes"/>
    <n v="13"/>
    <x v="0"/>
    <n v="2"/>
    <n v="80"/>
    <x v="3"/>
    <n v="1"/>
    <x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s v="No"/>
    <n v="16"/>
    <x v="0"/>
    <n v="3"/>
    <n v="80"/>
    <x v="0"/>
    <n v="31"/>
    <x v="1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s v="Yes"/>
    <n v="11"/>
    <x v="0"/>
    <n v="3"/>
    <n v="80"/>
    <x v="0"/>
    <n v="6"/>
    <x v="1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s v="No"/>
    <n v="18"/>
    <x v="0"/>
    <n v="4"/>
    <n v="80"/>
    <x v="1"/>
    <n v="5"/>
    <x v="3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s v="No"/>
    <n v="23"/>
    <x v="1"/>
    <n v="2"/>
    <n v="80"/>
    <x v="0"/>
    <n v="10"/>
    <x v="5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s v="No"/>
    <n v="11"/>
    <x v="0"/>
    <n v="3"/>
    <n v="80"/>
    <x v="0"/>
    <n v="13"/>
    <x v="5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s v="No"/>
    <n v="14"/>
    <x v="0"/>
    <n v="4"/>
    <n v="80"/>
    <x v="0"/>
    <n v="0"/>
    <x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s v="No"/>
    <n v="11"/>
    <x v="0"/>
    <n v="3"/>
    <n v="80"/>
    <x v="0"/>
    <n v="8"/>
    <x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s v="No"/>
    <n v="11"/>
    <x v="0"/>
    <n v="4"/>
    <n v="80"/>
    <x v="1"/>
    <n v="26"/>
    <x v="1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s v="Yes"/>
    <n v="22"/>
    <x v="1"/>
    <n v="2"/>
    <n v="80"/>
    <x v="0"/>
    <n v="10"/>
    <x v="3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s v="No"/>
    <n v="11"/>
    <x v="0"/>
    <n v="4"/>
    <n v="80"/>
    <x v="1"/>
    <n v="10"/>
    <x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s v="No"/>
    <n v="14"/>
    <x v="0"/>
    <n v="4"/>
    <n v="80"/>
    <x v="1"/>
    <n v="24"/>
    <x v="5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s v="No"/>
    <n v="12"/>
    <x v="0"/>
    <n v="4"/>
    <n v="80"/>
    <x v="0"/>
    <n v="22"/>
    <x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s v="No"/>
    <n v="11"/>
    <x v="0"/>
    <n v="4"/>
    <n v="80"/>
    <x v="0"/>
    <n v="7"/>
    <x v="1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s v="Yes"/>
    <n v="13"/>
    <x v="0"/>
    <n v="4"/>
    <n v="80"/>
    <x v="0"/>
    <n v="9"/>
    <x v="3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s v="No"/>
    <n v="13"/>
    <x v="0"/>
    <n v="1"/>
    <n v="80"/>
    <x v="0"/>
    <n v="10"/>
    <x v="3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s v="No"/>
    <n v="14"/>
    <x v="0"/>
    <n v="3"/>
    <n v="80"/>
    <x v="1"/>
    <n v="19"/>
    <x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s v="Yes"/>
    <n v="16"/>
    <x v="0"/>
    <n v="1"/>
    <n v="80"/>
    <x v="1"/>
    <n v="6"/>
    <x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s v="No"/>
    <n v="12"/>
    <x v="0"/>
    <n v="4"/>
    <n v="80"/>
    <x v="3"/>
    <n v="6"/>
    <x v="1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s v="Yes"/>
    <n v="14"/>
    <x v="0"/>
    <n v="3"/>
    <n v="80"/>
    <x v="0"/>
    <n v="3"/>
    <x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s v="No"/>
    <n v="13"/>
    <x v="0"/>
    <n v="1"/>
    <n v="80"/>
    <x v="0"/>
    <n v="2"/>
    <x v="1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s v="Yes"/>
    <n v="14"/>
    <x v="0"/>
    <n v="4"/>
    <n v="80"/>
    <x v="1"/>
    <n v="6"/>
    <x v="1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s v="No"/>
    <n v="19"/>
    <x v="0"/>
    <n v="1"/>
    <n v="80"/>
    <x v="3"/>
    <n v="10"/>
    <x v="1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s v="No"/>
    <n v="12"/>
    <x v="0"/>
    <n v="3"/>
    <n v="80"/>
    <x v="1"/>
    <n v="1"/>
    <x v="1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s v="No"/>
    <n v="13"/>
    <x v="0"/>
    <n v="4"/>
    <n v="80"/>
    <x v="1"/>
    <n v="1"/>
    <x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s v="No"/>
    <n v="12"/>
    <x v="0"/>
    <n v="3"/>
    <n v="80"/>
    <x v="0"/>
    <n v="1"/>
    <x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s v="No"/>
    <n v="15"/>
    <x v="0"/>
    <n v="4"/>
    <n v="80"/>
    <x v="0"/>
    <n v="9"/>
    <x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s v="No"/>
    <n v="23"/>
    <x v="1"/>
    <n v="4"/>
    <n v="80"/>
    <x v="0"/>
    <n v="12"/>
    <x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s v="No"/>
    <n v="12"/>
    <x v="0"/>
    <n v="4"/>
    <n v="80"/>
    <x v="0"/>
    <n v="23"/>
    <x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s v="No"/>
    <n v="20"/>
    <x v="1"/>
    <n v="3"/>
    <n v="80"/>
    <x v="0"/>
    <n v="10"/>
    <x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s v="No"/>
    <n v="21"/>
    <x v="1"/>
    <n v="1"/>
    <n v="80"/>
    <x v="0"/>
    <n v="8"/>
    <x v="4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s v="Yes"/>
    <n v="21"/>
    <x v="1"/>
    <n v="3"/>
    <n v="80"/>
    <x v="0"/>
    <n v="14"/>
    <x v="5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s v="No"/>
    <n v="19"/>
    <x v="0"/>
    <n v="4"/>
    <n v="80"/>
    <x v="0"/>
    <n v="1"/>
    <x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s v="Yes"/>
    <n v="13"/>
    <x v="0"/>
    <n v="4"/>
    <n v="80"/>
    <x v="0"/>
    <n v="23"/>
    <x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s v="Yes"/>
    <n v="13"/>
    <x v="0"/>
    <n v="3"/>
    <n v="80"/>
    <x v="0"/>
    <n v="2"/>
    <x v="1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s v="Yes"/>
    <n v="21"/>
    <x v="1"/>
    <n v="3"/>
    <n v="80"/>
    <x v="1"/>
    <n v="9"/>
    <x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s v="Yes"/>
    <n v="13"/>
    <x v="0"/>
    <n v="3"/>
    <n v="80"/>
    <x v="1"/>
    <n v="10"/>
    <x v="1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s v="Yes"/>
    <n v="19"/>
    <x v="0"/>
    <n v="3"/>
    <n v="80"/>
    <x v="1"/>
    <n v="5"/>
    <x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s v="Yes"/>
    <n v="12"/>
    <x v="0"/>
    <n v="3"/>
    <n v="80"/>
    <x v="0"/>
    <n v="15"/>
    <x v="4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s v="No"/>
    <n v="22"/>
    <x v="1"/>
    <n v="4"/>
    <n v="80"/>
    <x v="1"/>
    <n v="9"/>
    <x v="1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s v="Yes"/>
    <n v="15"/>
    <x v="0"/>
    <n v="3"/>
    <n v="80"/>
    <x v="1"/>
    <n v="4"/>
    <x v="1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s v="No"/>
    <n v="22"/>
    <x v="1"/>
    <n v="4"/>
    <n v="80"/>
    <x v="1"/>
    <n v="10"/>
    <x v="1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s v="No"/>
    <n v="18"/>
    <x v="0"/>
    <n v="3"/>
    <n v="80"/>
    <x v="1"/>
    <n v="7"/>
    <x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s v="Yes"/>
    <n v="22"/>
    <x v="1"/>
    <n v="2"/>
    <n v="80"/>
    <x v="1"/>
    <n v="9"/>
    <x v="1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s v="No"/>
    <n v="11"/>
    <x v="0"/>
    <n v="4"/>
    <n v="80"/>
    <x v="0"/>
    <n v="10"/>
    <x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s v="Yes"/>
    <n v="12"/>
    <x v="0"/>
    <n v="4"/>
    <n v="80"/>
    <x v="1"/>
    <n v="29"/>
    <x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s v="No"/>
    <n v="11"/>
    <x v="0"/>
    <n v="4"/>
    <n v="80"/>
    <x v="0"/>
    <n v="28"/>
    <x v="1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s v="No"/>
    <n v="13"/>
    <x v="0"/>
    <n v="2"/>
    <n v="80"/>
    <x v="2"/>
    <n v="17"/>
    <x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s v="Yes"/>
    <n v="14"/>
    <x v="0"/>
    <n v="3"/>
    <n v="80"/>
    <x v="2"/>
    <n v="21"/>
    <x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s v="No"/>
    <n v="13"/>
    <x v="0"/>
    <n v="3"/>
    <n v="80"/>
    <x v="0"/>
    <n v="6"/>
    <x v="1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s v="No"/>
    <n v="17"/>
    <x v="0"/>
    <n v="3"/>
    <n v="80"/>
    <x v="1"/>
    <n v="25"/>
    <x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s v="No"/>
    <n v="13"/>
    <x v="0"/>
    <n v="4"/>
    <n v="80"/>
    <x v="1"/>
    <n v="5"/>
    <x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s v="Yes"/>
    <n v="17"/>
    <x v="0"/>
    <n v="1"/>
    <n v="80"/>
    <x v="1"/>
    <n v="2"/>
    <x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s v="No"/>
    <n v="11"/>
    <x v="0"/>
    <n v="4"/>
    <n v="80"/>
    <x v="0"/>
    <n v="20"/>
    <x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s v="No"/>
    <n v="23"/>
    <x v="1"/>
    <n v="4"/>
    <n v="80"/>
    <x v="1"/>
    <n v="6"/>
    <x v="1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s v="No"/>
    <n v="17"/>
    <x v="0"/>
    <n v="2"/>
    <n v="80"/>
    <x v="0"/>
    <n v="1"/>
    <x v="5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s v="No"/>
    <n v="17"/>
    <x v="0"/>
    <n v="2"/>
    <n v="80"/>
    <x v="3"/>
    <n v="10"/>
    <x v="1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s v="No"/>
    <n v="12"/>
    <x v="0"/>
    <n v="2"/>
    <n v="80"/>
    <x v="0"/>
    <n v="5"/>
    <x v="1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s v="No"/>
    <n v="23"/>
    <x v="1"/>
    <n v="4"/>
    <n v="80"/>
    <x v="0"/>
    <n v="11"/>
    <x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s v="No"/>
    <n v="14"/>
    <x v="0"/>
    <n v="2"/>
    <n v="80"/>
    <x v="0"/>
    <n v="16"/>
    <x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s v="Yes"/>
    <n v="14"/>
    <x v="0"/>
    <n v="2"/>
    <n v="80"/>
    <x v="0"/>
    <n v="17"/>
    <x v="1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s v="No"/>
    <n v="13"/>
    <x v="0"/>
    <n v="1"/>
    <n v="80"/>
    <x v="0"/>
    <n v="16"/>
    <x v="1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s v="Yes"/>
    <n v="22"/>
    <x v="1"/>
    <n v="4"/>
    <n v="80"/>
    <x v="1"/>
    <n v="16"/>
    <x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s v="Yes"/>
    <n v="12"/>
    <x v="0"/>
    <n v="3"/>
    <n v="80"/>
    <x v="3"/>
    <n v="10"/>
    <x v="4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s v="No"/>
    <n v="18"/>
    <x v="0"/>
    <n v="1"/>
    <n v="80"/>
    <x v="0"/>
    <n v="6"/>
    <x v="1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s v="No"/>
    <n v="14"/>
    <x v="0"/>
    <n v="4"/>
    <n v="80"/>
    <x v="1"/>
    <n v="24"/>
    <x v="5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s v="Yes"/>
    <n v="12"/>
    <x v="0"/>
    <n v="4"/>
    <n v="80"/>
    <x v="2"/>
    <n v="17"/>
    <x v="1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s v="No"/>
    <n v="15"/>
    <x v="0"/>
    <n v="3"/>
    <n v="80"/>
    <x v="0"/>
    <n v="5"/>
    <x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s v="No"/>
    <n v="11"/>
    <x v="0"/>
    <n v="1"/>
    <n v="80"/>
    <x v="0"/>
    <n v="37"/>
    <x v="1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s v="No"/>
    <n v="13"/>
    <x v="0"/>
    <n v="3"/>
    <n v="80"/>
    <x v="1"/>
    <n v="3"/>
    <x v="1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s v="No"/>
    <n v="23"/>
    <x v="1"/>
    <n v="2"/>
    <n v="80"/>
    <x v="3"/>
    <n v="10"/>
    <x v="5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s v="No"/>
    <n v="19"/>
    <x v="0"/>
    <n v="1"/>
    <n v="80"/>
    <x v="2"/>
    <n v="11"/>
    <x v="1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s v="No"/>
    <n v="16"/>
    <x v="0"/>
    <n v="4"/>
    <n v="80"/>
    <x v="0"/>
    <n v="9"/>
    <x v="1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s v="No"/>
    <n v="22"/>
    <x v="1"/>
    <n v="4"/>
    <n v="80"/>
    <x v="1"/>
    <n v="22"/>
    <x v="1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s v="Yes"/>
    <n v="22"/>
    <x v="1"/>
    <n v="4"/>
    <n v="80"/>
    <x v="0"/>
    <n v="11"/>
    <x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s v="Yes"/>
    <n v="12"/>
    <x v="0"/>
    <n v="2"/>
    <n v="80"/>
    <x v="2"/>
    <n v="11"/>
    <x v="5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s v="Yes"/>
    <n v="13"/>
    <x v="0"/>
    <n v="3"/>
    <n v="80"/>
    <x v="1"/>
    <n v="21"/>
    <x v="3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s v="No"/>
    <n v="16"/>
    <x v="0"/>
    <n v="1"/>
    <n v="80"/>
    <x v="0"/>
    <n v="12"/>
    <x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s v="No"/>
    <n v="12"/>
    <x v="0"/>
    <n v="1"/>
    <n v="80"/>
    <x v="1"/>
    <n v="16"/>
    <x v="3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s v="No"/>
    <n v="21"/>
    <x v="1"/>
    <n v="1"/>
    <n v="80"/>
    <x v="1"/>
    <n v="4"/>
    <x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s v="No"/>
    <n v="15"/>
    <x v="0"/>
    <n v="2"/>
    <n v="80"/>
    <x v="0"/>
    <n v="5"/>
    <x v="1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s v="No"/>
    <n v="13"/>
    <x v="0"/>
    <n v="3"/>
    <n v="80"/>
    <x v="0"/>
    <n v="38"/>
    <x v="4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s v="No"/>
    <n v="12"/>
    <x v="0"/>
    <n v="3"/>
    <n v="80"/>
    <x v="1"/>
    <n v="17"/>
    <x v="1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s v="Yes"/>
    <n v="22"/>
    <x v="1"/>
    <n v="4"/>
    <n v="80"/>
    <x v="0"/>
    <n v="7"/>
    <x v="1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s v="No"/>
    <n v="13"/>
    <x v="0"/>
    <n v="4"/>
    <n v="80"/>
    <x v="0"/>
    <n v="1"/>
    <x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s v="Yes"/>
    <n v="18"/>
    <x v="0"/>
    <n v="2"/>
    <n v="80"/>
    <x v="0"/>
    <n v="1"/>
    <x v="3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s v="No"/>
    <n v="14"/>
    <x v="0"/>
    <n v="3"/>
    <n v="80"/>
    <x v="0"/>
    <n v="16"/>
    <x v="1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s v="No"/>
    <n v="14"/>
    <x v="0"/>
    <n v="4"/>
    <n v="80"/>
    <x v="1"/>
    <n v="17"/>
    <x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s v="No"/>
    <n v="21"/>
    <x v="1"/>
    <n v="4"/>
    <n v="80"/>
    <x v="1"/>
    <n v="30"/>
    <x v="1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s v="Yes"/>
    <n v="19"/>
    <x v="0"/>
    <n v="1"/>
    <n v="80"/>
    <x v="0"/>
    <n v="28"/>
    <x v="4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s v="Yes"/>
    <n v="11"/>
    <x v="0"/>
    <n v="4"/>
    <n v="80"/>
    <x v="0"/>
    <n v="6"/>
    <x v="4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s v="No"/>
    <n v="11"/>
    <x v="0"/>
    <n v="3"/>
    <n v="80"/>
    <x v="3"/>
    <n v="2"/>
    <x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s v="No"/>
    <n v="15"/>
    <x v="0"/>
    <n v="3"/>
    <n v="80"/>
    <x v="0"/>
    <n v="1"/>
    <x v="3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s v="No"/>
    <n v="20"/>
    <x v="1"/>
    <n v="3"/>
    <n v="80"/>
    <x v="0"/>
    <n v="23"/>
    <x v="4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s v="Yes"/>
    <n v="24"/>
    <x v="1"/>
    <n v="4"/>
    <n v="80"/>
    <x v="0"/>
    <n v="9"/>
    <x v="1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s v="Yes"/>
    <n v="12"/>
    <x v="0"/>
    <n v="3"/>
    <n v="80"/>
    <x v="0"/>
    <n v="23"/>
    <x v="1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s v="No"/>
    <n v="12"/>
    <x v="0"/>
    <n v="3"/>
    <n v="80"/>
    <x v="1"/>
    <n v="6"/>
    <x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s v="No"/>
    <n v="15"/>
    <x v="0"/>
    <n v="3"/>
    <n v="80"/>
    <x v="1"/>
    <n v="12"/>
    <x v="1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s v="No"/>
    <n v="12"/>
    <x v="0"/>
    <n v="1"/>
    <n v="80"/>
    <x v="0"/>
    <n v="12"/>
    <x v="1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s v="No"/>
    <n v="12"/>
    <x v="0"/>
    <n v="4"/>
    <n v="80"/>
    <x v="0"/>
    <n v="14"/>
    <x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s v="No"/>
    <n v="14"/>
    <x v="0"/>
    <n v="3"/>
    <n v="80"/>
    <x v="1"/>
    <n v="10"/>
    <x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s v="No"/>
    <n v="22"/>
    <x v="1"/>
    <n v="1"/>
    <n v="80"/>
    <x v="1"/>
    <n v="7"/>
    <x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s v="Yes"/>
    <n v="12"/>
    <x v="0"/>
    <n v="4"/>
    <n v="80"/>
    <x v="3"/>
    <n v="25"/>
    <x v="1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s v="No"/>
    <n v="25"/>
    <x v="1"/>
    <n v="3"/>
    <n v="80"/>
    <x v="2"/>
    <n v="10"/>
    <x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s v="No"/>
    <n v="13"/>
    <x v="0"/>
    <n v="1"/>
    <n v="80"/>
    <x v="1"/>
    <n v="8"/>
    <x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s v="Yes"/>
    <n v="18"/>
    <x v="0"/>
    <n v="1"/>
    <n v="80"/>
    <x v="2"/>
    <n v="7"/>
    <x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s v="No"/>
    <n v="13"/>
    <x v="0"/>
    <n v="3"/>
    <n v="80"/>
    <x v="0"/>
    <n v="23"/>
    <x v="3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s v="Yes"/>
    <n v="18"/>
    <x v="0"/>
    <n v="2"/>
    <n v="80"/>
    <x v="0"/>
    <n v="12"/>
    <x v="1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s v="No"/>
    <n v="19"/>
    <x v="0"/>
    <n v="3"/>
    <n v="80"/>
    <x v="0"/>
    <n v="5"/>
    <x v="1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s v="No"/>
    <n v="12"/>
    <x v="0"/>
    <n v="4"/>
    <n v="80"/>
    <x v="1"/>
    <n v="40"/>
    <x v="1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s v="Yes"/>
    <n v="19"/>
    <x v="0"/>
    <n v="4"/>
    <n v="80"/>
    <x v="0"/>
    <n v="0"/>
    <x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s v="No"/>
    <n v="14"/>
    <x v="0"/>
    <n v="3"/>
    <n v="80"/>
    <x v="1"/>
    <n v="3"/>
    <x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s v="No"/>
    <n v="14"/>
    <x v="0"/>
    <n v="3"/>
    <n v="80"/>
    <x v="0"/>
    <n v="16"/>
    <x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s v="No"/>
    <n v="12"/>
    <x v="0"/>
    <n v="4"/>
    <n v="80"/>
    <x v="0"/>
    <n v="18"/>
    <x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s v="No"/>
    <n v="11"/>
    <x v="0"/>
    <n v="4"/>
    <n v="80"/>
    <x v="0"/>
    <n v="16"/>
    <x v="1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s v="Yes"/>
    <n v="11"/>
    <x v="0"/>
    <n v="3"/>
    <n v="80"/>
    <x v="1"/>
    <n v="4"/>
    <x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s v="Yes"/>
    <n v="13"/>
    <x v="0"/>
    <n v="3"/>
    <n v="80"/>
    <x v="1"/>
    <n v="12"/>
    <x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s v="No"/>
    <n v="23"/>
    <x v="1"/>
    <n v="4"/>
    <n v="80"/>
    <x v="1"/>
    <n v="8"/>
    <x v="1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s v="No"/>
    <n v="20"/>
    <x v="1"/>
    <n v="4"/>
    <n v="80"/>
    <x v="3"/>
    <n v="7"/>
    <x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s v="No"/>
    <n v="15"/>
    <x v="0"/>
    <n v="4"/>
    <n v="80"/>
    <x v="0"/>
    <n v="18"/>
    <x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s v="No"/>
    <n v="14"/>
    <x v="0"/>
    <n v="3"/>
    <n v="80"/>
    <x v="1"/>
    <n v="17"/>
    <x v="4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s v="No"/>
    <n v="18"/>
    <x v="0"/>
    <n v="4"/>
    <n v="80"/>
    <x v="0"/>
    <n v="6"/>
    <x v="1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s v="Yes"/>
    <n v="19"/>
    <x v="0"/>
    <n v="4"/>
    <n v="80"/>
    <x v="0"/>
    <n v="12"/>
    <x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s v="No"/>
    <n v="22"/>
    <x v="1"/>
    <n v="1"/>
    <n v="80"/>
    <x v="0"/>
    <n v="10"/>
    <x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s v="No"/>
    <n v="13"/>
    <x v="0"/>
    <n v="2"/>
    <n v="80"/>
    <x v="0"/>
    <n v="9"/>
    <x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s v="Yes"/>
    <n v="20"/>
    <x v="1"/>
    <n v="2"/>
    <n v="80"/>
    <x v="0"/>
    <n v="19"/>
    <x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s v="No"/>
    <n v="14"/>
    <x v="0"/>
    <n v="3"/>
    <n v="80"/>
    <x v="0"/>
    <n v="5"/>
    <x v="5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s v="No"/>
    <n v="17"/>
    <x v="0"/>
    <n v="4"/>
    <n v="80"/>
    <x v="2"/>
    <n v="9"/>
    <x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s v="No"/>
    <n v="14"/>
    <x v="0"/>
    <n v="4"/>
    <n v="80"/>
    <x v="1"/>
    <n v="8"/>
    <x v="1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s v="No"/>
    <n v="13"/>
    <x v="0"/>
    <n v="4"/>
    <n v="80"/>
    <x v="0"/>
    <n v="6"/>
    <x v="1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s v="No"/>
    <n v="13"/>
    <x v="0"/>
    <n v="2"/>
    <n v="80"/>
    <x v="1"/>
    <n v="21"/>
    <x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s v="No"/>
    <n v="21"/>
    <x v="1"/>
    <n v="4"/>
    <n v="80"/>
    <x v="1"/>
    <n v="7"/>
    <x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s v="No"/>
    <n v="14"/>
    <x v="0"/>
    <n v="4"/>
    <n v="80"/>
    <x v="0"/>
    <n v="1"/>
    <x v="1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s v="No"/>
    <n v="11"/>
    <x v="0"/>
    <n v="1"/>
    <n v="80"/>
    <x v="1"/>
    <n v="20"/>
    <x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s v="No"/>
    <n v="13"/>
    <x v="0"/>
    <n v="1"/>
    <n v="80"/>
    <x v="3"/>
    <n v="10"/>
    <x v="1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s v="Yes"/>
    <n v="20"/>
    <x v="1"/>
    <n v="4"/>
    <n v="80"/>
    <x v="1"/>
    <n v="13"/>
    <x v="1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s v="No"/>
    <n v="18"/>
    <x v="0"/>
    <n v="3"/>
    <n v="80"/>
    <x v="1"/>
    <n v="20"/>
    <x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s v="No"/>
    <n v="14"/>
    <x v="0"/>
    <n v="4"/>
    <n v="80"/>
    <x v="0"/>
    <n v="9"/>
    <x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s v="No"/>
    <n v="13"/>
    <x v="0"/>
    <n v="1"/>
    <n v="80"/>
    <x v="1"/>
    <n v="10"/>
    <x v="4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s v="No"/>
    <n v="17"/>
    <x v="0"/>
    <n v="3"/>
    <n v="80"/>
    <x v="0"/>
    <n v="10"/>
    <x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s v="Yes"/>
    <n v="20"/>
    <x v="1"/>
    <n v="2"/>
    <n v="80"/>
    <x v="1"/>
    <n v="9"/>
    <x v="1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s v="No"/>
    <n v="11"/>
    <x v="0"/>
    <n v="1"/>
    <n v="80"/>
    <x v="1"/>
    <n v="15"/>
    <x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s v="No"/>
    <n v="18"/>
    <x v="0"/>
    <n v="4"/>
    <n v="80"/>
    <x v="1"/>
    <n v="6"/>
    <x v="1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s v="No"/>
    <n v="24"/>
    <x v="1"/>
    <n v="1"/>
    <n v="80"/>
    <x v="3"/>
    <n v="2"/>
    <x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s v="No"/>
    <n v="18"/>
    <x v="0"/>
    <n v="4"/>
    <n v="80"/>
    <x v="1"/>
    <n v="6"/>
    <x v="4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s v="No"/>
    <n v="11"/>
    <x v="0"/>
    <n v="3"/>
    <n v="80"/>
    <x v="1"/>
    <n v="5"/>
    <x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s v="Yes"/>
    <n v="16"/>
    <x v="0"/>
    <n v="2"/>
    <n v="80"/>
    <x v="1"/>
    <n v="12"/>
    <x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s v="Yes"/>
    <n v="15"/>
    <x v="0"/>
    <n v="4"/>
    <n v="80"/>
    <x v="1"/>
    <n v="1"/>
    <x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s v="No"/>
    <n v="15"/>
    <x v="0"/>
    <n v="2"/>
    <n v="80"/>
    <x v="0"/>
    <n v="21"/>
    <x v="3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s v="No"/>
    <n v="12"/>
    <x v="0"/>
    <n v="1"/>
    <n v="80"/>
    <x v="1"/>
    <n v="13"/>
    <x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s v="No"/>
    <n v="12"/>
    <x v="0"/>
    <n v="3"/>
    <n v="80"/>
    <x v="1"/>
    <n v="12"/>
    <x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s v="No"/>
    <n v="22"/>
    <x v="1"/>
    <n v="3"/>
    <n v="80"/>
    <x v="0"/>
    <n v="12"/>
    <x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s v="No"/>
    <n v="20"/>
    <x v="1"/>
    <n v="1"/>
    <n v="80"/>
    <x v="0"/>
    <n v="8"/>
    <x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s v="Yes"/>
    <n v="16"/>
    <x v="0"/>
    <n v="4"/>
    <n v="80"/>
    <x v="1"/>
    <n v="6"/>
    <x v="1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s v="No"/>
    <n v="21"/>
    <x v="1"/>
    <n v="1"/>
    <n v="80"/>
    <x v="0"/>
    <n v="1"/>
    <x v="3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s v="No"/>
    <n v="12"/>
    <x v="0"/>
    <n v="3"/>
    <n v="80"/>
    <x v="0"/>
    <n v="13"/>
    <x v="1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s v="No"/>
    <n v="11"/>
    <x v="0"/>
    <n v="3"/>
    <n v="80"/>
    <x v="3"/>
    <n v="12"/>
    <x v="5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s v="Yes"/>
    <n v="11"/>
    <x v="0"/>
    <n v="1"/>
    <n v="80"/>
    <x v="1"/>
    <n v="9"/>
    <x v="1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s v="Yes"/>
    <n v="18"/>
    <x v="0"/>
    <n v="3"/>
    <n v="80"/>
    <x v="1"/>
    <n v="19"/>
    <x v="1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s v="No"/>
    <n v="14"/>
    <x v="0"/>
    <n v="1"/>
    <n v="80"/>
    <x v="0"/>
    <n v="4"/>
    <x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s v="No"/>
    <n v="22"/>
    <x v="1"/>
    <n v="3"/>
    <n v="80"/>
    <x v="0"/>
    <n v="1"/>
    <x v="1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s v="No"/>
    <n v="25"/>
    <x v="1"/>
    <n v="3"/>
    <n v="80"/>
    <x v="2"/>
    <n v="24"/>
    <x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s v="No"/>
    <n v="12"/>
    <x v="0"/>
    <n v="3"/>
    <n v="80"/>
    <x v="0"/>
    <n v="2"/>
    <x v="1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s v="Yes"/>
    <n v="23"/>
    <x v="1"/>
    <n v="3"/>
    <n v="80"/>
    <x v="1"/>
    <n v="7"/>
    <x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s v="No"/>
    <n v="15"/>
    <x v="0"/>
    <n v="4"/>
    <n v="80"/>
    <x v="0"/>
    <n v="9"/>
    <x v="1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s v="Yes"/>
    <n v="22"/>
    <x v="1"/>
    <n v="4"/>
    <n v="80"/>
    <x v="0"/>
    <n v="4"/>
    <x v="3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s v="No"/>
    <n v="15"/>
    <x v="0"/>
    <n v="4"/>
    <n v="80"/>
    <x v="1"/>
    <n v="5"/>
    <x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s v="No"/>
    <n v="11"/>
    <x v="0"/>
    <n v="3"/>
    <n v="80"/>
    <x v="3"/>
    <n v="5"/>
    <x v="1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s v="No"/>
    <n v="13"/>
    <x v="0"/>
    <n v="4"/>
    <n v="80"/>
    <x v="1"/>
    <n v="8"/>
    <x v="3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s v="No"/>
    <n v="14"/>
    <x v="0"/>
    <n v="2"/>
    <n v="80"/>
    <x v="1"/>
    <n v="21"/>
    <x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s v="No"/>
    <n v="11"/>
    <x v="0"/>
    <n v="4"/>
    <n v="80"/>
    <x v="0"/>
    <n v="36"/>
    <x v="1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s v="No"/>
    <n v="17"/>
    <x v="0"/>
    <n v="3"/>
    <n v="80"/>
    <x v="0"/>
    <n v="10"/>
    <x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s v="No"/>
    <n v="18"/>
    <x v="0"/>
    <n v="3"/>
    <n v="80"/>
    <x v="0"/>
    <n v="21"/>
    <x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s v="No"/>
    <n v="14"/>
    <x v="0"/>
    <n v="1"/>
    <n v="80"/>
    <x v="1"/>
    <n v="34"/>
    <x v="3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s v="No"/>
    <n v="16"/>
    <x v="0"/>
    <n v="4"/>
    <n v="80"/>
    <x v="0"/>
    <n v="7"/>
    <x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s v="Yes"/>
    <n v="13"/>
    <x v="0"/>
    <n v="1"/>
    <n v="80"/>
    <x v="0"/>
    <n v="8"/>
    <x v="4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s v="No"/>
    <n v="14"/>
    <x v="0"/>
    <n v="4"/>
    <n v="80"/>
    <x v="2"/>
    <n v="7"/>
    <x v="1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s v="No"/>
    <n v="23"/>
    <x v="1"/>
    <n v="4"/>
    <n v="80"/>
    <x v="1"/>
    <n v="22"/>
    <x v="4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s v="Yes"/>
    <n v="12"/>
    <x v="0"/>
    <n v="1"/>
    <n v="80"/>
    <x v="1"/>
    <n v="8"/>
    <x v="1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s v="No"/>
    <n v="11"/>
    <x v="0"/>
    <n v="4"/>
    <n v="80"/>
    <x v="0"/>
    <n v="10"/>
    <x v="3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s v="No"/>
    <n v="16"/>
    <x v="0"/>
    <n v="2"/>
    <n v="80"/>
    <x v="1"/>
    <n v="11"/>
    <x v="3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s v="No"/>
    <n v="14"/>
    <x v="0"/>
    <n v="2"/>
    <n v="80"/>
    <x v="0"/>
    <n v="14"/>
    <x v="1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s v="No"/>
    <n v="18"/>
    <x v="0"/>
    <n v="1"/>
    <n v="80"/>
    <x v="1"/>
    <n v="9"/>
    <x v="1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s v="No"/>
    <n v="19"/>
    <x v="0"/>
    <n v="3"/>
    <n v="80"/>
    <x v="1"/>
    <n v="6"/>
    <x v="4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s v="Yes"/>
    <n v="15"/>
    <x v="0"/>
    <n v="1"/>
    <n v="80"/>
    <x v="3"/>
    <n v="7"/>
    <x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s v="Yes"/>
    <n v="17"/>
    <x v="0"/>
    <n v="4"/>
    <n v="80"/>
    <x v="1"/>
    <n v="5"/>
    <x v="5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s v="Yes"/>
    <n v="15"/>
    <x v="0"/>
    <n v="3"/>
    <n v="80"/>
    <x v="1"/>
    <n v="15"/>
    <x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s v="Yes"/>
    <n v="19"/>
    <x v="0"/>
    <n v="2"/>
    <n v="80"/>
    <x v="0"/>
    <n v="17"/>
    <x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s v="No"/>
    <n v="22"/>
    <x v="1"/>
    <n v="4"/>
    <n v="80"/>
    <x v="2"/>
    <n v="10"/>
    <x v="1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s v="Yes"/>
    <n v="16"/>
    <x v="0"/>
    <n v="1"/>
    <n v="80"/>
    <x v="1"/>
    <n v="4"/>
    <x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s v="No"/>
    <n v="13"/>
    <x v="0"/>
    <n v="1"/>
    <n v="80"/>
    <x v="0"/>
    <n v="8"/>
    <x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s v="No"/>
    <n v="14"/>
    <x v="0"/>
    <n v="4"/>
    <n v="80"/>
    <x v="1"/>
    <n v="5"/>
    <x v="3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s v="No"/>
    <n v="16"/>
    <x v="0"/>
    <n v="3"/>
    <n v="80"/>
    <x v="1"/>
    <n v="17"/>
    <x v="1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s v="No"/>
    <n v="11"/>
    <x v="0"/>
    <n v="3"/>
    <n v="80"/>
    <x v="0"/>
    <n v="14"/>
    <x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s v="No"/>
    <n v="22"/>
    <x v="1"/>
    <n v="3"/>
    <n v="80"/>
    <x v="0"/>
    <n v="12"/>
    <x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s v="No"/>
    <n v="14"/>
    <x v="0"/>
    <n v="4"/>
    <n v="80"/>
    <x v="0"/>
    <n v="7"/>
    <x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s v="No"/>
    <n v="16"/>
    <x v="0"/>
    <n v="4"/>
    <n v="80"/>
    <x v="3"/>
    <n v="16"/>
    <x v="3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s v="Yes"/>
    <n v="11"/>
    <x v="0"/>
    <n v="3"/>
    <n v="80"/>
    <x v="0"/>
    <n v="8"/>
    <x v="3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s v="Yes"/>
    <n v="18"/>
    <x v="0"/>
    <n v="3"/>
    <n v="80"/>
    <x v="0"/>
    <n v="16"/>
    <x v="1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s v="No"/>
    <n v="15"/>
    <x v="0"/>
    <n v="3"/>
    <n v="80"/>
    <x v="0"/>
    <n v="9"/>
    <x v="3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s v="No"/>
    <n v="14"/>
    <x v="0"/>
    <n v="4"/>
    <n v="80"/>
    <x v="0"/>
    <n v="7"/>
    <x v="4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s v="No"/>
    <n v="12"/>
    <x v="0"/>
    <n v="4"/>
    <n v="80"/>
    <x v="0"/>
    <n v="23"/>
    <x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s v="No"/>
    <n v="14"/>
    <x v="0"/>
    <n v="4"/>
    <n v="80"/>
    <x v="1"/>
    <n v="16"/>
    <x v="5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s v="No"/>
    <n v="16"/>
    <x v="0"/>
    <n v="4"/>
    <n v="80"/>
    <x v="0"/>
    <n v="16"/>
    <x v="1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s v="No"/>
    <n v="21"/>
    <x v="1"/>
    <n v="4"/>
    <n v="80"/>
    <x v="0"/>
    <n v="7"/>
    <x v="1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s v="Yes"/>
    <n v="14"/>
    <x v="0"/>
    <n v="3"/>
    <n v="80"/>
    <x v="2"/>
    <n v="10"/>
    <x v="4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s v="No"/>
    <n v="12"/>
    <x v="0"/>
    <n v="3"/>
    <n v="80"/>
    <x v="3"/>
    <n v="17"/>
    <x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s v="No"/>
    <n v="12"/>
    <x v="0"/>
    <n v="4"/>
    <n v="80"/>
    <x v="1"/>
    <n v="6"/>
    <x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s v="No"/>
    <n v="17"/>
    <x v="0"/>
    <n v="1"/>
    <n v="80"/>
    <x v="1"/>
    <n v="7"/>
    <x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s v="No"/>
    <n v="17"/>
    <x v="0"/>
    <n v="3"/>
    <n v="80"/>
    <x v="1"/>
    <n v="13"/>
    <x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s v="No"/>
    <n v="14"/>
    <x v="0"/>
    <n v="4"/>
    <n v="80"/>
    <x v="1"/>
    <n v="11"/>
    <x v="3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s v="No"/>
    <n v="14"/>
    <x v="0"/>
    <n v="1"/>
    <n v="80"/>
    <x v="0"/>
    <n v="10"/>
    <x v="1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s v="Yes"/>
    <n v="13"/>
    <x v="0"/>
    <n v="3"/>
    <n v="80"/>
    <x v="0"/>
    <n v="4"/>
    <x v="1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s v="No"/>
    <n v="15"/>
    <x v="0"/>
    <n v="2"/>
    <n v="80"/>
    <x v="0"/>
    <n v="6"/>
    <x v="1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s v="No"/>
    <n v="11"/>
    <x v="0"/>
    <n v="4"/>
    <n v="80"/>
    <x v="0"/>
    <n v="22"/>
    <x v="1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s v="No"/>
    <n v="17"/>
    <x v="0"/>
    <n v="4"/>
    <n v="80"/>
    <x v="0"/>
    <n v="7"/>
    <x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s v="No"/>
    <n v="11"/>
    <x v="0"/>
    <n v="3"/>
    <n v="80"/>
    <x v="1"/>
    <n v="32"/>
    <x v="1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s v="Yes"/>
    <n v="13"/>
    <x v="0"/>
    <n v="3"/>
    <n v="80"/>
    <x v="1"/>
    <n v="8"/>
    <x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s v="Yes"/>
    <n v="22"/>
    <x v="1"/>
    <n v="3"/>
    <n v="80"/>
    <x v="1"/>
    <n v="22"/>
    <x v="1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s v="No"/>
    <n v="20"/>
    <x v="1"/>
    <n v="1"/>
    <n v="80"/>
    <x v="0"/>
    <n v="13"/>
    <x v="1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s v="Yes"/>
    <n v="18"/>
    <x v="0"/>
    <n v="4"/>
    <n v="80"/>
    <x v="0"/>
    <n v="33"/>
    <x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s v="No"/>
    <n v="11"/>
    <x v="0"/>
    <n v="1"/>
    <n v="80"/>
    <x v="1"/>
    <n v="6"/>
    <x v="3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s v="Yes"/>
    <n v="14"/>
    <x v="0"/>
    <n v="4"/>
    <n v="80"/>
    <x v="0"/>
    <n v="4"/>
    <x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s v="No"/>
    <n v="14"/>
    <x v="0"/>
    <n v="3"/>
    <n v="80"/>
    <x v="2"/>
    <n v="7"/>
    <x v="4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s v="No"/>
    <n v="18"/>
    <x v="0"/>
    <n v="1"/>
    <n v="80"/>
    <x v="0"/>
    <n v="4"/>
    <x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s v="No"/>
    <n v="16"/>
    <x v="0"/>
    <n v="1"/>
    <n v="80"/>
    <x v="3"/>
    <n v="17"/>
    <x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s v="No"/>
    <n v="17"/>
    <x v="0"/>
    <n v="1"/>
    <n v="80"/>
    <x v="3"/>
    <n v="9"/>
    <x v="1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s v="No"/>
    <n v="11"/>
    <x v="0"/>
    <n v="3"/>
    <n v="80"/>
    <x v="1"/>
    <n v="25"/>
    <x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s v="No"/>
    <n v="12"/>
    <x v="0"/>
    <n v="1"/>
    <n v="80"/>
    <x v="1"/>
    <n v="9"/>
    <x v="1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s v="No"/>
    <n v="13"/>
    <x v="0"/>
    <n v="3"/>
    <n v="80"/>
    <x v="1"/>
    <n v="2"/>
    <x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s v="No"/>
    <n v="13"/>
    <x v="0"/>
    <n v="2"/>
    <n v="80"/>
    <x v="1"/>
    <n v="13"/>
    <x v="1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s v="No"/>
    <n v="14"/>
    <x v="0"/>
    <n v="1"/>
    <n v="80"/>
    <x v="1"/>
    <n v="17"/>
    <x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s v="No"/>
    <n v="17"/>
    <x v="0"/>
    <n v="4"/>
    <n v="80"/>
    <x v="1"/>
    <n v="9"/>
    <x v="4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s v="No"/>
    <n v="11"/>
    <x v="0"/>
    <n v="2"/>
    <n v="80"/>
    <x v="3"/>
    <n v="17"/>
    <x v="3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s v="No"/>
    <n v="25"/>
    <x v="1"/>
    <n v="4"/>
    <n v="80"/>
    <x v="0"/>
    <n v="20"/>
    <x v="4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s v="No"/>
    <n v="19"/>
    <x v="0"/>
    <n v="1"/>
    <n v="80"/>
    <x v="0"/>
    <n v="6"/>
    <x v="4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s v="Yes"/>
    <n v="13"/>
    <x v="0"/>
    <n v="3"/>
    <n v="80"/>
    <x v="0"/>
    <n v="10"/>
    <x v="4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s v="No"/>
    <n v="14"/>
    <x v="0"/>
    <n v="4"/>
    <n v="80"/>
    <x v="1"/>
    <n v="10"/>
    <x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s v="No"/>
    <n v="12"/>
    <x v="0"/>
    <n v="4"/>
    <n v="80"/>
    <x v="3"/>
    <n v="5"/>
    <x v="1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s v="Yes"/>
    <n v="11"/>
    <x v="0"/>
    <n v="3"/>
    <n v="80"/>
    <x v="1"/>
    <n v="10"/>
    <x v="5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s v="No"/>
    <n v="19"/>
    <x v="0"/>
    <n v="4"/>
    <n v="80"/>
    <x v="1"/>
    <n v="22"/>
    <x v="3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s v="No"/>
    <n v="11"/>
    <x v="0"/>
    <n v="2"/>
    <n v="80"/>
    <x v="0"/>
    <n v="1"/>
    <x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s v="No"/>
    <n v="11"/>
    <x v="0"/>
    <n v="2"/>
    <n v="80"/>
    <x v="0"/>
    <n v="6"/>
    <x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s v="No"/>
    <n v="20"/>
    <x v="1"/>
    <n v="3"/>
    <n v="80"/>
    <x v="0"/>
    <n v="5"/>
    <x v="1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s v="No"/>
    <n v="18"/>
    <x v="0"/>
    <n v="4"/>
    <n v="80"/>
    <x v="1"/>
    <n v="13"/>
    <x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s v="No"/>
    <n v="13"/>
    <x v="0"/>
    <n v="4"/>
    <n v="80"/>
    <x v="0"/>
    <n v="9"/>
    <x v="3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s v="Yes"/>
    <n v="12"/>
    <x v="0"/>
    <n v="2"/>
    <n v="80"/>
    <x v="1"/>
    <n v="28"/>
    <x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s v="No"/>
    <n v="11"/>
    <x v="0"/>
    <n v="3"/>
    <n v="80"/>
    <x v="0"/>
    <n v="5"/>
    <x v="3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s v="No"/>
    <n v="19"/>
    <x v="0"/>
    <n v="2"/>
    <n v="80"/>
    <x v="3"/>
    <n v="10"/>
    <x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s v="No"/>
    <n v="21"/>
    <x v="1"/>
    <n v="2"/>
    <n v="80"/>
    <x v="1"/>
    <n v="10"/>
    <x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s v="No"/>
    <n v="12"/>
    <x v="0"/>
    <n v="4"/>
    <n v="80"/>
    <x v="3"/>
    <n v="6"/>
    <x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s v="Yes"/>
    <n v="14"/>
    <x v="0"/>
    <n v="2"/>
    <n v="80"/>
    <x v="0"/>
    <n v="21"/>
    <x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s v="No"/>
    <n v="11"/>
    <x v="0"/>
    <n v="3"/>
    <n v="80"/>
    <x v="1"/>
    <n v="16"/>
    <x v="5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s v="Yes"/>
    <n v="14"/>
    <x v="0"/>
    <n v="3"/>
    <n v="80"/>
    <x v="0"/>
    <n v="37"/>
    <x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s v="Yes"/>
    <n v="12"/>
    <x v="0"/>
    <n v="4"/>
    <n v="80"/>
    <x v="1"/>
    <n v="10"/>
    <x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s v="No"/>
    <n v="23"/>
    <x v="1"/>
    <n v="4"/>
    <n v="80"/>
    <x v="1"/>
    <n v="5"/>
    <x v="1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s v="No"/>
    <n v="14"/>
    <x v="0"/>
    <n v="2"/>
    <n v="80"/>
    <x v="1"/>
    <n v="7"/>
    <x v="3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s v="No"/>
    <n v="17"/>
    <x v="0"/>
    <n v="1"/>
    <n v="80"/>
    <x v="0"/>
    <n v="3"/>
    <x v="5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s v="Yes"/>
    <n v="18"/>
    <x v="0"/>
    <n v="1"/>
    <n v="80"/>
    <x v="3"/>
    <n v="15"/>
    <x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s v="No"/>
    <n v="18"/>
    <x v="0"/>
    <n v="2"/>
    <n v="80"/>
    <x v="1"/>
    <n v="10"/>
    <x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s v="Yes"/>
    <n v="24"/>
    <x v="1"/>
    <n v="3"/>
    <n v="80"/>
    <x v="1"/>
    <n v="8"/>
    <x v="1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s v="No"/>
    <n v="20"/>
    <x v="1"/>
    <n v="1"/>
    <n v="80"/>
    <x v="1"/>
    <n v="6"/>
    <x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s v="No"/>
    <n v="14"/>
    <x v="0"/>
    <n v="1"/>
    <n v="80"/>
    <x v="3"/>
    <n v="28"/>
    <x v="5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s v="Yes"/>
    <n v="16"/>
    <x v="0"/>
    <n v="4"/>
    <n v="80"/>
    <x v="2"/>
    <n v="21"/>
    <x v="3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s v="No"/>
    <n v="25"/>
    <x v="1"/>
    <n v="3"/>
    <n v="80"/>
    <x v="0"/>
    <n v="20"/>
    <x v="1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s v="No"/>
    <n v="18"/>
    <x v="0"/>
    <n v="1"/>
    <n v="80"/>
    <x v="0"/>
    <n v="10"/>
    <x v="1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s v="Yes"/>
    <n v="19"/>
    <x v="0"/>
    <n v="4"/>
    <n v="80"/>
    <x v="1"/>
    <n v="12"/>
    <x v="5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s v="Yes"/>
    <n v="13"/>
    <x v="0"/>
    <n v="3"/>
    <n v="80"/>
    <x v="1"/>
    <n v="5"/>
    <x v="1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s v="No"/>
    <n v="12"/>
    <x v="0"/>
    <n v="2"/>
    <n v="80"/>
    <x v="0"/>
    <n v="17"/>
    <x v="1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s v="Yes"/>
    <n v="22"/>
    <x v="1"/>
    <n v="4"/>
    <n v="80"/>
    <x v="1"/>
    <n v="19"/>
    <x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s v="No"/>
    <n v="14"/>
    <x v="0"/>
    <n v="2"/>
    <n v="80"/>
    <x v="1"/>
    <n v="10"/>
    <x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s v="Yes"/>
    <n v="13"/>
    <x v="0"/>
    <n v="4"/>
    <n v="80"/>
    <x v="1"/>
    <n v="5"/>
    <x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s v="No"/>
    <n v="21"/>
    <x v="1"/>
    <n v="4"/>
    <n v="80"/>
    <x v="0"/>
    <n v="5"/>
    <x v="1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s v="Yes"/>
    <n v="11"/>
    <x v="0"/>
    <n v="4"/>
    <n v="80"/>
    <x v="0"/>
    <n v="22"/>
    <x v="5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s v="No"/>
    <n v="12"/>
    <x v="0"/>
    <n v="4"/>
    <n v="80"/>
    <x v="0"/>
    <n v="10"/>
    <x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s v="No"/>
    <n v="11"/>
    <x v="0"/>
    <n v="3"/>
    <n v="80"/>
    <x v="1"/>
    <n v="2"/>
    <x v="3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s v="Yes"/>
    <n v="12"/>
    <x v="0"/>
    <n v="2"/>
    <n v="80"/>
    <x v="0"/>
    <n v="8"/>
    <x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s v="Yes"/>
    <n v="12"/>
    <x v="0"/>
    <n v="3"/>
    <n v="80"/>
    <x v="2"/>
    <n v="4"/>
    <x v="1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s v="No"/>
    <n v="14"/>
    <x v="0"/>
    <n v="4"/>
    <n v="80"/>
    <x v="1"/>
    <n v="23"/>
    <x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s v="No"/>
    <n v="13"/>
    <x v="0"/>
    <n v="3"/>
    <n v="80"/>
    <x v="0"/>
    <n v="0"/>
    <x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s v="No"/>
    <n v="15"/>
    <x v="0"/>
    <n v="3"/>
    <n v="80"/>
    <x v="3"/>
    <n v="12"/>
    <x v="1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s v="No"/>
    <n v="18"/>
    <x v="0"/>
    <n v="4"/>
    <n v="80"/>
    <x v="3"/>
    <n v="4"/>
    <x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s v="No"/>
    <n v="18"/>
    <x v="0"/>
    <n v="4"/>
    <n v="80"/>
    <x v="1"/>
    <n v="13"/>
    <x v="1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s v="No"/>
    <n v="19"/>
    <x v="0"/>
    <n v="2"/>
    <n v="80"/>
    <x v="0"/>
    <n v="22"/>
    <x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s v="No"/>
    <n v="12"/>
    <x v="0"/>
    <n v="1"/>
    <n v="80"/>
    <x v="0"/>
    <n v="0"/>
    <x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s v="No"/>
    <n v="19"/>
    <x v="0"/>
    <n v="3"/>
    <n v="80"/>
    <x v="0"/>
    <n v="9"/>
    <x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s v="No"/>
    <n v="11"/>
    <x v="0"/>
    <n v="2"/>
    <n v="80"/>
    <x v="1"/>
    <n v="10"/>
    <x v="1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s v="No"/>
    <n v="17"/>
    <x v="0"/>
    <n v="1"/>
    <n v="80"/>
    <x v="2"/>
    <n v="19"/>
    <x v="3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s v="No"/>
    <n v="15"/>
    <x v="0"/>
    <n v="3"/>
    <n v="80"/>
    <x v="1"/>
    <n v="11"/>
    <x v="1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s v="No"/>
    <n v="14"/>
    <x v="0"/>
    <n v="3"/>
    <n v="80"/>
    <x v="1"/>
    <n v="13"/>
    <x v="1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s v="No"/>
    <n v="17"/>
    <x v="0"/>
    <n v="3"/>
    <n v="80"/>
    <x v="1"/>
    <n v="19"/>
    <x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s v="Yes"/>
    <n v="13"/>
    <x v="0"/>
    <n v="4"/>
    <n v="80"/>
    <x v="1"/>
    <n v="12"/>
    <x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s v="Yes"/>
    <n v="12"/>
    <x v="0"/>
    <n v="3"/>
    <n v="80"/>
    <x v="1"/>
    <n v="6"/>
    <x v="5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s v="No"/>
    <n v="12"/>
    <x v="0"/>
    <n v="4"/>
    <n v="80"/>
    <x v="0"/>
    <n v="9"/>
    <x v="4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s v="No"/>
    <n v="18"/>
    <x v="0"/>
    <n v="1"/>
    <n v="80"/>
    <x v="1"/>
    <n v="24"/>
    <x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s v="Yes"/>
    <n v="18"/>
    <x v="0"/>
    <n v="2"/>
    <n v="80"/>
    <x v="1"/>
    <n v="3"/>
    <x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s v="No"/>
    <n v="11"/>
    <x v="0"/>
    <n v="2"/>
    <n v="80"/>
    <x v="3"/>
    <n v="12"/>
    <x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s v="Yes"/>
    <n v="14"/>
    <x v="0"/>
    <n v="4"/>
    <n v="80"/>
    <x v="0"/>
    <n v="21"/>
    <x v="1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s v="No"/>
    <n v="19"/>
    <x v="0"/>
    <n v="1"/>
    <n v="80"/>
    <x v="0"/>
    <n v="9"/>
    <x v="3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s v="Yes"/>
    <n v="12"/>
    <x v="0"/>
    <n v="4"/>
    <n v="80"/>
    <x v="0"/>
    <n v="25"/>
    <x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s v="No"/>
    <n v="15"/>
    <x v="0"/>
    <n v="1"/>
    <n v="80"/>
    <x v="0"/>
    <n v="11"/>
    <x v="1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s v="Yes"/>
    <n v="12"/>
    <x v="0"/>
    <n v="2"/>
    <n v="80"/>
    <x v="0"/>
    <n v="4"/>
    <x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s v="Yes"/>
    <n v="11"/>
    <x v="0"/>
    <n v="4"/>
    <n v="80"/>
    <x v="0"/>
    <n v="13"/>
    <x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s v="Yes"/>
    <n v="11"/>
    <x v="0"/>
    <n v="1"/>
    <n v="80"/>
    <x v="0"/>
    <n v="5"/>
    <x v="1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s v="No"/>
    <n v="12"/>
    <x v="0"/>
    <n v="4"/>
    <n v="80"/>
    <x v="2"/>
    <n v="13"/>
    <x v="1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s v="No"/>
    <n v="16"/>
    <x v="0"/>
    <n v="3"/>
    <n v="80"/>
    <x v="0"/>
    <n v="10"/>
    <x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s v="Yes"/>
    <n v="13"/>
    <x v="0"/>
    <n v="4"/>
    <n v="80"/>
    <x v="0"/>
    <n v="5"/>
    <x v="5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s v="No"/>
    <n v="13"/>
    <x v="0"/>
    <n v="4"/>
    <n v="80"/>
    <x v="3"/>
    <n v="11"/>
    <x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s v="No"/>
    <n v="24"/>
    <x v="1"/>
    <n v="1"/>
    <n v="80"/>
    <x v="1"/>
    <n v="10"/>
    <x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s v="No"/>
    <n v="15"/>
    <x v="0"/>
    <n v="1"/>
    <n v="80"/>
    <x v="1"/>
    <n v="21"/>
    <x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s v="Yes"/>
    <n v="18"/>
    <x v="0"/>
    <n v="1"/>
    <n v="80"/>
    <x v="0"/>
    <n v="12"/>
    <x v="1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s v="No"/>
    <n v="14"/>
    <x v="0"/>
    <n v="3"/>
    <n v="80"/>
    <x v="0"/>
    <n v="9"/>
    <x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s v="No"/>
    <n v="11"/>
    <x v="0"/>
    <n v="2"/>
    <n v="80"/>
    <x v="1"/>
    <n v="21"/>
    <x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s v="No"/>
    <n v="11"/>
    <x v="0"/>
    <n v="2"/>
    <n v="80"/>
    <x v="1"/>
    <n v="9"/>
    <x v="1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s v="Yes"/>
    <n v="13"/>
    <x v="0"/>
    <n v="4"/>
    <n v="80"/>
    <x v="1"/>
    <n v="6"/>
    <x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s v="No"/>
    <n v="12"/>
    <x v="0"/>
    <n v="4"/>
    <n v="80"/>
    <x v="0"/>
    <n v="20"/>
    <x v="5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s v="No"/>
    <n v="16"/>
    <x v="0"/>
    <n v="1"/>
    <n v="80"/>
    <x v="1"/>
    <n v="10"/>
    <x v="4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s v="No"/>
    <n v="14"/>
    <x v="0"/>
    <n v="1"/>
    <n v="80"/>
    <x v="3"/>
    <n v="12"/>
    <x v="1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s v="Yes"/>
    <n v="22"/>
    <x v="1"/>
    <n v="3"/>
    <n v="80"/>
    <x v="2"/>
    <n v="6"/>
    <x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s v="Yes"/>
    <n v="11"/>
    <x v="0"/>
    <n v="4"/>
    <n v="80"/>
    <x v="0"/>
    <n v="7"/>
    <x v="5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s v="No"/>
    <n v="17"/>
    <x v="0"/>
    <n v="3"/>
    <n v="80"/>
    <x v="0"/>
    <n v="4"/>
    <x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s v="No"/>
    <n v="13"/>
    <x v="0"/>
    <n v="3"/>
    <n v="80"/>
    <x v="2"/>
    <n v="10"/>
    <x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s v="No"/>
    <n v="18"/>
    <x v="0"/>
    <n v="1"/>
    <n v="80"/>
    <x v="1"/>
    <n v="8"/>
    <x v="1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s v="No"/>
    <n v="16"/>
    <x v="0"/>
    <n v="3"/>
    <n v="80"/>
    <x v="3"/>
    <n v="8"/>
    <x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s v="Yes"/>
    <n v="14"/>
    <x v="0"/>
    <n v="2"/>
    <n v="80"/>
    <x v="1"/>
    <n v="12"/>
    <x v="1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s v="Yes"/>
    <n v="14"/>
    <x v="0"/>
    <n v="3"/>
    <n v="80"/>
    <x v="0"/>
    <n v="11"/>
    <x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s v="Yes"/>
    <n v="14"/>
    <x v="0"/>
    <n v="1"/>
    <n v="80"/>
    <x v="3"/>
    <n v="7"/>
    <x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s v="No"/>
    <n v="13"/>
    <x v="0"/>
    <n v="4"/>
    <n v="80"/>
    <x v="0"/>
    <n v="17"/>
    <x v="3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s v="No"/>
    <n v="12"/>
    <x v="0"/>
    <n v="3"/>
    <n v="80"/>
    <x v="3"/>
    <n v="4"/>
    <x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s v="Yes"/>
    <n v="15"/>
    <x v="0"/>
    <n v="4"/>
    <n v="80"/>
    <x v="0"/>
    <n v="8"/>
    <x v="1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s v="No"/>
    <n v="19"/>
    <x v="0"/>
    <n v="1"/>
    <n v="80"/>
    <x v="0"/>
    <n v="5"/>
    <x v="1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s v="No"/>
    <n v="14"/>
    <x v="0"/>
    <n v="2"/>
    <n v="80"/>
    <x v="0"/>
    <n v="16"/>
    <x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s v="No"/>
    <n v="14"/>
    <x v="0"/>
    <n v="1"/>
    <n v="80"/>
    <x v="1"/>
    <n v="4"/>
    <x v="1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s v="Yes"/>
    <n v="11"/>
    <x v="0"/>
    <n v="3"/>
    <n v="80"/>
    <x v="1"/>
    <n v="4"/>
    <x v="3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s v="No"/>
    <n v="13"/>
    <x v="0"/>
    <n v="3"/>
    <n v="80"/>
    <x v="1"/>
    <n v="8"/>
    <x v="5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s v="No"/>
    <n v="21"/>
    <x v="1"/>
    <n v="2"/>
    <n v="80"/>
    <x v="1"/>
    <n v="15"/>
    <x v="1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s v="Yes"/>
    <n v="13"/>
    <x v="0"/>
    <n v="1"/>
    <n v="80"/>
    <x v="3"/>
    <n v="13"/>
    <x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s v="Yes"/>
    <n v="12"/>
    <x v="0"/>
    <n v="2"/>
    <n v="80"/>
    <x v="1"/>
    <n v="4"/>
    <x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s v="No"/>
    <n v="17"/>
    <x v="0"/>
    <n v="2"/>
    <n v="80"/>
    <x v="1"/>
    <n v="8"/>
    <x v="1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s v="No"/>
    <n v="23"/>
    <x v="1"/>
    <n v="2"/>
    <n v="80"/>
    <x v="0"/>
    <n v="14"/>
    <x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s v="Yes"/>
    <n v="11"/>
    <x v="0"/>
    <n v="3"/>
    <n v="80"/>
    <x v="0"/>
    <n v="3"/>
    <x v="1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s v="No"/>
    <n v="15"/>
    <x v="0"/>
    <n v="2"/>
    <n v="80"/>
    <x v="0"/>
    <n v="7"/>
    <x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s v="No"/>
    <n v="11"/>
    <x v="0"/>
    <n v="1"/>
    <n v="80"/>
    <x v="1"/>
    <n v="16"/>
    <x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s v="No"/>
    <n v="11"/>
    <x v="0"/>
    <n v="3"/>
    <n v="80"/>
    <x v="0"/>
    <n v="15"/>
    <x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s v="Yes"/>
    <n v="13"/>
    <x v="0"/>
    <n v="3"/>
    <n v="80"/>
    <x v="1"/>
    <n v="10"/>
    <x v="1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s v="No"/>
    <n v="24"/>
    <x v="1"/>
    <n v="3"/>
    <n v="80"/>
    <x v="0"/>
    <n v="3"/>
    <x v="1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s v="Yes"/>
    <n v="13"/>
    <x v="0"/>
    <n v="2"/>
    <n v="80"/>
    <x v="0"/>
    <n v="1"/>
    <x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s v="No"/>
    <n v="20"/>
    <x v="1"/>
    <n v="2"/>
    <n v="80"/>
    <x v="1"/>
    <n v="17"/>
    <x v="1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s v="No"/>
    <n v="14"/>
    <x v="0"/>
    <n v="3"/>
    <n v="80"/>
    <x v="0"/>
    <n v="7"/>
    <x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s v="No"/>
    <n v="18"/>
    <x v="0"/>
    <n v="3"/>
    <n v="80"/>
    <x v="0"/>
    <n v="8"/>
    <x v="3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s v="No"/>
    <n v="15"/>
    <x v="0"/>
    <n v="4"/>
    <n v="80"/>
    <x v="0"/>
    <n v="20"/>
    <x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s v="Yes"/>
    <n v="12"/>
    <x v="0"/>
    <n v="1"/>
    <n v="80"/>
    <x v="3"/>
    <n v="8"/>
    <x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s v="Yes"/>
    <n v="16"/>
    <x v="0"/>
    <n v="4"/>
    <n v="80"/>
    <x v="0"/>
    <n v="3"/>
    <x v="3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s v="No"/>
    <n v="15"/>
    <x v="0"/>
    <n v="4"/>
    <n v="80"/>
    <x v="0"/>
    <n v="1"/>
    <x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s v="No"/>
    <n v="16"/>
    <x v="0"/>
    <n v="4"/>
    <n v="80"/>
    <x v="0"/>
    <n v="6"/>
    <x v="5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s v="No"/>
    <n v="19"/>
    <x v="0"/>
    <n v="3"/>
    <n v="80"/>
    <x v="0"/>
    <n v="10"/>
    <x v="3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s v="No"/>
    <n v="11"/>
    <x v="0"/>
    <n v="2"/>
    <n v="80"/>
    <x v="1"/>
    <n v="5"/>
    <x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s v="No"/>
    <n v="16"/>
    <x v="0"/>
    <n v="4"/>
    <n v="80"/>
    <x v="0"/>
    <n v="7"/>
    <x v="4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s v="No"/>
    <n v="24"/>
    <x v="1"/>
    <n v="3"/>
    <n v="80"/>
    <x v="0"/>
    <n v="26"/>
    <x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s v="No"/>
    <n v="11"/>
    <x v="0"/>
    <n v="3"/>
    <n v="80"/>
    <x v="1"/>
    <n v="18"/>
    <x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s v="No"/>
    <n v="13"/>
    <x v="0"/>
    <n v="2"/>
    <n v="80"/>
    <x v="1"/>
    <n v="6"/>
    <x v="1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s v="Yes"/>
    <n v="13"/>
    <x v="0"/>
    <n v="2"/>
    <n v="80"/>
    <x v="0"/>
    <n v="9"/>
    <x v="1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s v="Yes"/>
    <n v="13"/>
    <x v="0"/>
    <n v="3"/>
    <n v="80"/>
    <x v="0"/>
    <n v="30"/>
    <x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s v="Yes"/>
    <n v="12"/>
    <x v="0"/>
    <n v="4"/>
    <n v="80"/>
    <x v="1"/>
    <n v="5"/>
    <x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s v="No"/>
    <n v="18"/>
    <x v="0"/>
    <n v="1"/>
    <n v="80"/>
    <x v="1"/>
    <n v="1"/>
    <x v="1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s v="No"/>
    <n v="22"/>
    <x v="1"/>
    <n v="3"/>
    <n v="80"/>
    <x v="0"/>
    <n v="7"/>
    <x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s v="No"/>
    <n v="13"/>
    <x v="0"/>
    <n v="4"/>
    <n v="80"/>
    <x v="1"/>
    <n v="2"/>
    <x v="4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s v="No"/>
    <n v="13"/>
    <x v="0"/>
    <n v="2"/>
    <n v="80"/>
    <x v="3"/>
    <n v="10"/>
    <x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s v="Yes"/>
    <n v="23"/>
    <x v="1"/>
    <n v="3"/>
    <n v="80"/>
    <x v="0"/>
    <n v="3"/>
    <x v="5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s v="No"/>
    <n v="12"/>
    <x v="0"/>
    <n v="3"/>
    <n v="80"/>
    <x v="1"/>
    <n v="18"/>
    <x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s v="No"/>
    <n v="12"/>
    <x v="0"/>
    <n v="3"/>
    <n v="80"/>
    <x v="3"/>
    <n v="8"/>
    <x v="3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s v="No"/>
    <n v="16"/>
    <x v="0"/>
    <n v="2"/>
    <n v="80"/>
    <x v="1"/>
    <n v="8"/>
    <x v="3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s v="Yes"/>
    <n v="12"/>
    <x v="0"/>
    <n v="4"/>
    <n v="80"/>
    <x v="0"/>
    <n v="18"/>
    <x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s v="No"/>
    <n v="11"/>
    <x v="0"/>
    <n v="3"/>
    <n v="80"/>
    <x v="1"/>
    <n v="25"/>
    <x v="1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s v="No"/>
    <n v="22"/>
    <x v="1"/>
    <n v="2"/>
    <n v="80"/>
    <x v="1"/>
    <n v="20"/>
    <x v="1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s v="No"/>
    <n v="11"/>
    <x v="0"/>
    <n v="3"/>
    <n v="80"/>
    <x v="1"/>
    <n v="24"/>
    <x v="5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s v="No"/>
    <n v="15"/>
    <x v="0"/>
    <n v="1"/>
    <n v="80"/>
    <x v="1"/>
    <n v="6"/>
    <x v="1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s v="No"/>
    <n v="12"/>
    <x v="0"/>
    <n v="2"/>
    <n v="80"/>
    <x v="1"/>
    <n v="13"/>
    <x v="3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s v="No"/>
    <n v="20"/>
    <x v="1"/>
    <n v="1"/>
    <n v="80"/>
    <x v="1"/>
    <n v="8"/>
    <x v="4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s v="Yes"/>
    <n v="14"/>
    <x v="0"/>
    <n v="4"/>
    <n v="80"/>
    <x v="0"/>
    <n v="8"/>
    <x v="1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s v="Yes"/>
    <n v="11"/>
    <x v="0"/>
    <n v="2"/>
    <n v="80"/>
    <x v="0"/>
    <n v="5"/>
    <x v="1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s v="Yes"/>
    <n v="15"/>
    <x v="0"/>
    <n v="1"/>
    <n v="80"/>
    <x v="3"/>
    <n v="15"/>
    <x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s v="No"/>
    <n v="12"/>
    <x v="0"/>
    <n v="3"/>
    <n v="80"/>
    <x v="1"/>
    <n v="4"/>
    <x v="1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s v="Yes"/>
    <n v="14"/>
    <x v="0"/>
    <n v="3"/>
    <n v="80"/>
    <x v="1"/>
    <n v="21"/>
    <x v="1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s v="No"/>
    <n v="11"/>
    <x v="0"/>
    <n v="4"/>
    <n v="80"/>
    <x v="2"/>
    <n v="36"/>
    <x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s v="No"/>
    <n v="11"/>
    <x v="0"/>
    <n v="2"/>
    <n v="80"/>
    <x v="0"/>
    <n v="6"/>
    <x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s v="No"/>
    <n v="16"/>
    <x v="0"/>
    <n v="3"/>
    <n v="80"/>
    <x v="1"/>
    <n v="10"/>
    <x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s v="No"/>
    <n v="12"/>
    <x v="0"/>
    <n v="4"/>
    <n v="80"/>
    <x v="1"/>
    <n v="10"/>
    <x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s v="No"/>
    <n v="13"/>
    <x v="0"/>
    <n v="3"/>
    <n v="80"/>
    <x v="1"/>
    <n v="6"/>
    <x v="3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s v="Yes"/>
    <n v="14"/>
    <x v="0"/>
    <n v="3"/>
    <n v="80"/>
    <x v="0"/>
    <n v="28"/>
    <x v="5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s v="No"/>
    <n v="21"/>
    <x v="1"/>
    <n v="4"/>
    <n v="80"/>
    <x v="3"/>
    <n v="8"/>
    <x v="1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s v="No"/>
    <n v="13"/>
    <x v="0"/>
    <n v="4"/>
    <n v="80"/>
    <x v="0"/>
    <n v="31"/>
    <x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s v="No"/>
    <n v="11"/>
    <x v="0"/>
    <n v="2"/>
    <n v="80"/>
    <x v="1"/>
    <n v="19"/>
    <x v="1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s v="No"/>
    <n v="20"/>
    <x v="1"/>
    <n v="3"/>
    <n v="80"/>
    <x v="0"/>
    <n v="11"/>
    <x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s v="No"/>
    <n v="11"/>
    <x v="0"/>
    <n v="4"/>
    <n v="80"/>
    <x v="0"/>
    <n v="33"/>
    <x v="3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s v="No"/>
    <n v="14"/>
    <x v="0"/>
    <n v="3"/>
    <n v="80"/>
    <x v="1"/>
    <n v="19"/>
    <x v="3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s v="No"/>
    <n v="11"/>
    <x v="0"/>
    <n v="4"/>
    <n v="80"/>
    <x v="2"/>
    <n v="7"/>
    <x v="5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s v="Yes"/>
    <n v="16"/>
    <x v="0"/>
    <n v="2"/>
    <n v="80"/>
    <x v="0"/>
    <n v="6"/>
    <x v="5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s v="No"/>
    <n v="16"/>
    <x v="0"/>
    <n v="4"/>
    <n v="80"/>
    <x v="1"/>
    <n v="3"/>
    <x v="1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s v="Yes"/>
    <n v="23"/>
    <x v="1"/>
    <n v="3"/>
    <n v="80"/>
    <x v="1"/>
    <n v="1"/>
    <x v="1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s v="No"/>
    <n v="14"/>
    <x v="0"/>
    <n v="4"/>
    <n v="80"/>
    <x v="0"/>
    <n v="21"/>
    <x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s v="No"/>
    <n v="22"/>
    <x v="1"/>
    <n v="2"/>
    <n v="80"/>
    <x v="3"/>
    <n v="3"/>
    <x v="1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s v="No"/>
    <n v="15"/>
    <x v="0"/>
    <n v="3"/>
    <n v="80"/>
    <x v="1"/>
    <n v="9"/>
    <x v="1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s v="No"/>
    <n v="18"/>
    <x v="0"/>
    <n v="3"/>
    <n v="80"/>
    <x v="0"/>
    <n v="10"/>
    <x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s v="No"/>
    <n v="16"/>
    <x v="0"/>
    <n v="2"/>
    <n v="80"/>
    <x v="0"/>
    <n v="6"/>
    <x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s v="No"/>
    <n v="12"/>
    <x v="0"/>
    <n v="3"/>
    <n v="80"/>
    <x v="0"/>
    <n v="1"/>
    <x v="1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s v="No"/>
    <n v="11"/>
    <x v="0"/>
    <n v="3"/>
    <n v="80"/>
    <x v="0"/>
    <n v="10"/>
    <x v="1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s v="No"/>
    <n v="12"/>
    <x v="0"/>
    <n v="3"/>
    <n v="80"/>
    <x v="1"/>
    <n v="32"/>
    <x v="1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s v="No"/>
    <n v="15"/>
    <x v="0"/>
    <n v="2"/>
    <n v="80"/>
    <x v="1"/>
    <n v="28"/>
    <x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s v="No"/>
    <n v="14"/>
    <x v="0"/>
    <n v="3"/>
    <n v="80"/>
    <x v="0"/>
    <n v="12"/>
    <x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s v="No"/>
    <n v="19"/>
    <x v="0"/>
    <n v="4"/>
    <n v="80"/>
    <x v="0"/>
    <n v="22"/>
    <x v="3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s v="No"/>
    <n v="13"/>
    <x v="0"/>
    <n v="3"/>
    <n v="80"/>
    <x v="2"/>
    <n v="20"/>
    <x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s v="No"/>
    <n v="13"/>
    <x v="0"/>
    <n v="3"/>
    <n v="80"/>
    <x v="0"/>
    <n v="26"/>
    <x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s v="No"/>
    <n v="15"/>
    <x v="0"/>
    <n v="3"/>
    <n v="80"/>
    <x v="0"/>
    <n v="6"/>
    <x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s v="No"/>
    <n v="11"/>
    <x v="0"/>
    <n v="3"/>
    <n v="80"/>
    <x v="0"/>
    <n v="19"/>
    <x v="1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s v="No"/>
    <n v="12"/>
    <x v="0"/>
    <n v="3"/>
    <n v="80"/>
    <x v="1"/>
    <n v="14"/>
    <x v="1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s v="Yes"/>
    <n v="19"/>
    <x v="0"/>
    <n v="3"/>
    <n v="80"/>
    <x v="1"/>
    <n v="15"/>
    <x v="1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s v="No"/>
    <n v="25"/>
    <x v="1"/>
    <n v="4"/>
    <n v="80"/>
    <x v="1"/>
    <n v="13"/>
    <x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s v="Yes"/>
    <n v="12"/>
    <x v="0"/>
    <n v="4"/>
    <n v="80"/>
    <x v="0"/>
    <n v="15"/>
    <x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s v="No"/>
    <n v="13"/>
    <x v="0"/>
    <n v="1"/>
    <n v="80"/>
    <x v="2"/>
    <n v="8"/>
    <x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s v="No"/>
    <n v="14"/>
    <x v="0"/>
    <n v="1"/>
    <n v="80"/>
    <x v="0"/>
    <n v="4"/>
    <x v="1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s v="Yes"/>
    <n v="12"/>
    <x v="0"/>
    <n v="3"/>
    <n v="80"/>
    <x v="0"/>
    <n v="10"/>
    <x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s v="No"/>
    <n v="12"/>
    <x v="0"/>
    <n v="1"/>
    <n v="80"/>
    <x v="0"/>
    <n v="12"/>
    <x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s v="Yes"/>
    <n v="15"/>
    <x v="0"/>
    <n v="3"/>
    <n v="80"/>
    <x v="2"/>
    <n v="11"/>
    <x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s v="No"/>
    <n v="17"/>
    <x v="0"/>
    <n v="4"/>
    <n v="80"/>
    <x v="1"/>
    <n v="8"/>
    <x v="5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s v="No"/>
    <n v="14"/>
    <x v="0"/>
    <n v="4"/>
    <n v="80"/>
    <x v="0"/>
    <n v="10"/>
    <x v="1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s v="No"/>
    <n v="16"/>
    <x v="0"/>
    <n v="3"/>
    <n v="80"/>
    <x v="0"/>
    <n v="4"/>
    <x v="1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s v="No"/>
    <n v="14"/>
    <x v="0"/>
    <n v="1"/>
    <n v="80"/>
    <x v="1"/>
    <n v="14"/>
    <x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s v="No"/>
    <n v="23"/>
    <x v="1"/>
    <n v="4"/>
    <n v="80"/>
    <x v="0"/>
    <n v="37"/>
    <x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s v="No"/>
    <n v="14"/>
    <x v="0"/>
    <n v="4"/>
    <n v="80"/>
    <x v="0"/>
    <n v="16"/>
    <x v="1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s v="No"/>
    <n v="11"/>
    <x v="0"/>
    <n v="3"/>
    <n v="80"/>
    <x v="0"/>
    <n v="15"/>
    <x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s v="No"/>
    <n v="15"/>
    <x v="0"/>
    <n v="3"/>
    <n v="80"/>
    <x v="0"/>
    <n v="22"/>
    <x v="1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s v="No"/>
    <n v="11"/>
    <x v="0"/>
    <n v="1"/>
    <n v="80"/>
    <x v="1"/>
    <n v="8"/>
    <x v="1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s v="Yes"/>
    <n v="13"/>
    <x v="0"/>
    <n v="3"/>
    <n v="80"/>
    <x v="0"/>
    <n v="10"/>
    <x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s v="Yes"/>
    <n v="21"/>
    <x v="1"/>
    <n v="4"/>
    <n v="80"/>
    <x v="1"/>
    <n v="10"/>
    <x v="3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s v="No"/>
    <n v="19"/>
    <x v="0"/>
    <n v="2"/>
    <n v="80"/>
    <x v="1"/>
    <n v="9"/>
    <x v="1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s v="Yes"/>
    <n v="11"/>
    <x v="0"/>
    <n v="2"/>
    <n v="80"/>
    <x v="1"/>
    <n v="8"/>
    <x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s v="No"/>
    <n v="12"/>
    <x v="0"/>
    <n v="2"/>
    <n v="80"/>
    <x v="3"/>
    <n v="8"/>
    <x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s v="No"/>
    <n v="19"/>
    <x v="0"/>
    <n v="3"/>
    <n v="80"/>
    <x v="1"/>
    <n v="10"/>
    <x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s v="No"/>
    <n v="21"/>
    <x v="1"/>
    <n v="3"/>
    <n v="80"/>
    <x v="1"/>
    <n v="10"/>
    <x v="1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s v="Yes"/>
    <n v="14"/>
    <x v="0"/>
    <n v="4"/>
    <n v="80"/>
    <x v="0"/>
    <n v="0"/>
    <x v="1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s v="No"/>
    <n v="15"/>
    <x v="0"/>
    <n v="3"/>
    <n v="80"/>
    <x v="1"/>
    <n v="20"/>
    <x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s v="Yes"/>
    <n v="17"/>
    <x v="0"/>
    <n v="1"/>
    <n v="80"/>
    <x v="0"/>
    <n v="10"/>
    <x v="1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s v="No"/>
    <n v="12"/>
    <x v="0"/>
    <n v="1"/>
    <n v="80"/>
    <x v="3"/>
    <n v="8"/>
    <x v="3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s v="No"/>
    <n v="16"/>
    <x v="0"/>
    <n v="4"/>
    <n v="80"/>
    <x v="0"/>
    <n v="5"/>
    <x v="1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s v="No"/>
    <n v="12"/>
    <x v="0"/>
    <n v="4"/>
    <n v="80"/>
    <x v="0"/>
    <n v="10"/>
    <x v="1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s v="Yes"/>
    <n v="18"/>
    <x v="0"/>
    <n v="2"/>
    <n v="80"/>
    <x v="0"/>
    <n v="1"/>
    <x v="1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s v="No"/>
    <n v="17"/>
    <x v="0"/>
    <n v="4"/>
    <n v="80"/>
    <x v="0"/>
    <n v="12"/>
    <x v="1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s v="No"/>
    <n v="11"/>
    <x v="0"/>
    <n v="4"/>
    <n v="80"/>
    <x v="0"/>
    <n v="28"/>
    <x v="1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s v="No"/>
    <n v="16"/>
    <x v="0"/>
    <n v="2"/>
    <n v="80"/>
    <x v="1"/>
    <n v="22"/>
    <x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s v="No"/>
    <n v="13"/>
    <x v="0"/>
    <n v="4"/>
    <n v="80"/>
    <x v="1"/>
    <n v="9"/>
    <x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s v="Yes"/>
    <n v="12"/>
    <x v="0"/>
    <n v="2"/>
    <n v="80"/>
    <x v="3"/>
    <n v="18"/>
    <x v="1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s v="No"/>
    <n v="12"/>
    <x v="0"/>
    <n v="4"/>
    <n v="80"/>
    <x v="0"/>
    <n v="6"/>
    <x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s v="No"/>
    <n v="13"/>
    <x v="0"/>
    <n v="3"/>
    <n v="80"/>
    <x v="3"/>
    <n v="3"/>
    <x v="1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s v="No"/>
    <n v="19"/>
    <x v="0"/>
    <n v="3"/>
    <n v="80"/>
    <x v="1"/>
    <n v="18"/>
    <x v="5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s v="No"/>
    <n v="12"/>
    <x v="0"/>
    <n v="2"/>
    <n v="80"/>
    <x v="1"/>
    <n v="8"/>
    <x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s v="Yes"/>
    <n v="17"/>
    <x v="0"/>
    <n v="3"/>
    <n v="80"/>
    <x v="1"/>
    <n v="31"/>
    <x v="3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s v="Yes"/>
    <n v="11"/>
    <x v="0"/>
    <n v="2"/>
    <n v="80"/>
    <x v="3"/>
    <n v="6"/>
    <x v="1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s v="No"/>
    <n v="20"/>
    <x v="1"/>
    <n v="4"/>
    <n v="80"/>
    <x v="3"/>
    <n v="6"/>
    <x v="3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s v="No"/>
    <n v="21"/>
    <x v="1"/>
    <n v="4"/>
    <n v="80"/>
    <x v="1"/>
    <n v="1"/>
    <x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s v="No"/>
    <n v="11"/>
    <x v="0"/>
    <n v="3"/>
    <n v="80"/>
    <x v="1"/>
    <n v="32"/>
    <x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s v="No"/>
    <n v="11"/>
    <x v="0"/>
    <n v="3"/>
    <n v="80"/>
    <x v="0"/>
    <n v="7"/>
    <x v="4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s v="Yes"/>
    <n v="16"/>
    <x v="0"/>
    <n v="4"/>
    <n v="80"/>
    <x v="1"/>
    <n v="6"/>
    <x v="5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s v="No"/>
    <n v="18"/>
    <x v="0"/>
    <n v="3"/>
    <n v="80"/>
    <x v="1"/>
    <n v="1"/>
    <x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s v="Yes"/>
    <n v="13"/>
    <x v="0"/>
    <n v="4"/>
    <n v="80"/>
    <x v="1"/>
    <n v="6"/>
    <x v="1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s v="No"/>
    <n v="17"/>
    <x v="0"/>
    <n v="3"/>
    <n v="80"/>
    <x v="0"/>
    <n v="9"/>
    <x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s v="No"/>
    <n v="14"/>
    <x v="0"/>
    <n v="4"/>
    <n v="80"/>
    <x v="0"/>
    <n v="9"/>
    <x v="1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s v="No"/>
    <n v="22"/>
    <x v="1"/>
    <n v="4"/>
    <n v="80"/>
    <x v="3"/>
    <n v="13"/>
    <x v="5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s v="No"/>
    <n v="12"/>
    <x v="0"/>
    <n v="3"/>
    <n v="80"/>
    <x v="3"/>
    <n v="6"/>
    <x v="3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s v="Yes"/>
    <n v="11"/>
    <x v="0"/>
    <n v="3"/>
    <n v="80"/>
    <x v="1"/>
    <n v="17"/>
    <x v="1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s v="No"/>
    <n v="13"/>
    <x v="0"/>
    <n v="4"/>
    <n v="80"/>
    <x v="0"/>
    <n v="1"/>
    <x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s v="No"/>
    <n v="13"/>
    <x v="0"/>
    <n v="2"/>
    <n v="80"/>
    <x v="3"/>
    <n v="10"/>
    <x v="5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s v="Yes"/>
    <n v="14"/>
    <x v="0"/>
    <n v="3"/>
    <n v="80"/>
    <x v="1"/>
    <n v="21"/>
    <x v="1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s v="No"/>
    <n v="17"/>
    <x v="0"/>
    <n v="4"/>
    <n v="80"/>
    <x v="0"/>
    <n v="8"/>
    <x v="1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s v="Yes"/>
    <n v="13"/>
    <x v="0"/>
    <n v="2"/>
    <n v="80"/>
    <x v="1"/>
    <n v="10"/>
    <x v="1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s v="No"/>
    <n v="11"/>
    <x v="0"/>
    <n v="1"/>
    <n v="80"/>
    <x v="1"/>
    <n v="21"/>
    <x v="1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s v="No"/>
    <n v="11"/>
    <x v="0"/>
    <n v="2"/>
    <n v="80"/>
    <x v="0"/>
    <n v="10"/>
    <x v="4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s v="Yes"/>
    <n v="18"/>
    <x v="0"/>
    <n v="4"/>
    <n v="80"/>
    <x v="3"/>
    <n v="8"/>
    <x v="1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s v="No"/>
    <n v="11"/>
    <x v="0"/>
    <n v="2"/>
    <n v="80"/>
    <x v="1"/>
    <n v="5"/>
    <x v="1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s v="No"/>
    <n v="11"/>
    <x v="0"/>
    <n v="3"/>
    <n v="80"/>
    <x v="0"/>
    <n v="3"/>
    <x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s v="Yes"/>
    <n v="12"/>
    <x v="0"/>
    <n v="1"/>
    <n v="80"/>
    <x v="1"/>
    <n v="26"/>
    <x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s v="No"/>
    <n v="20"/>
    <x v="1"/>
    <n v="4"/>
    <n v="80"/>
    <x v="0"/>
    <n v="3"/>
    <x v="1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s v="No"/>
    <n v="12"/>
    <x v="0"/>
    <n v="4"/>
    <n v="80"/>
    <x v="0"/>
    <n v="6"/>
    <x v="1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s v="Yes"/>
    <n v="12"/>
    <x v="0"/>
    <n v="4"/>
    <n v="80"/>
    <x v="1"/>
    <n v="6"/>
    <x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s v="No"/>
    <n v="20"/>
    <x v="1"/>
    <n v="3"/>
    <n v="80"/>
    <x v="1"/>
    <n v="1"/>
    <x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s v="No"/>
    <n v="20"/>
    <x v="1"/>
    <n v="4"/>
    <n v="80"/>
    <x v="0"/>
    <n v="18"/>
    <x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s v="No"/>
    <n v="12"/>
    <x v="0"/>
    <n v="4"/>
    <n v="80"/>
    <x v="1"/>
    <n v="10"/>
    <x v="5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s v="No"/>
    <n v="14"/>
    <x v="0"/>
    <n v="4"/>
    <n v="80"/>
    <x v="3"/>
    <n v="5"/>
    <x v="5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s v="Yes"/>
    <n v="13"/>
    <x v="0"/>
    <n v="3"/>
    <n v="80"/>
    <x v="1"/>
    <n v="3"/>
    <x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s v="No"/>
    <n v="15"/>
    <x v="0"/>
    <n v="3"/>
    <n v="80"/>
    <x v="1"/>
    <n v="10"/>
    <x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s v="No"/>
    <n v="14"/>
    <x v="0"/>
    <n v="1"/>
    <n v="80"/>
    <x v="1"/>
    <n v="6"/>
    <x v="3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s v="No"/>
    <n v="13"/>
    <x v="0"/>
    <n v="2"/>
    <n v="80"/>
    <x v="0"/>
    <n v="17"/>
    <x v="1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s v="No"/>
    <n v="23"/>
    <x v="1"/>
    <n v="3"/>
    <n v="80"/>
    <x v="1"/>
    <n v="15"/>
    <x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s v="No"/>
    <n v="15"/>
    <x v="0"/>
    <n v="3"/>
    <n v="80"/>
    <x v="1"/>
    <n v="16"/>
    <x v="4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s v="Yes"/>
    <n v="11"/>
    <x v="0"/>
    <n v="3"/>
    <n v="80"/>
    <x v="1"/>
    <n v="13"/>
    <x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s v="No"/>
    <n v="13"/>
    <x v="0"/>
    <n v="4"/>
    <n v="80"/>
    <x v="0"/>
    <n v="5"/>
    <x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s v="Yes"/>
    <n v="11"/>
    <x v="0"/>
    <n v="4"/>
    <n v="80"/>
    <x v="0"/>
    <n v="1"/>
    <x v="3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s v="Yes"/>
    <n v="11"/>
    <x v="0"/>
    <n v="1"/>
    <n v="80"/>
    <x v="0"/>
    <n v="10"/>
    <x v="1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s v="No"/>
    <n v="18"/>
    <x v="0"/>
    <n v="3"/>
    <n v="80"/>
    <x v="3"/>
    <n v="1"/>
    <x v="1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s v="No"/>
    <n v="16"/>
    <x v="0"/>
    <n v="1"/>
    <n v="80"/>
    <x v="1"/>
    <n v="5"/>
    <x v="1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s v="No"/>
    <n v="22"/>
    <x v="1"/>
    <n v="3"/>
    <n v="80"/>
    <x v="1"/>
    <n v="4"/>
    <x v="5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s v="No"/>
    <n v="20"/>
    <x v="1"/>
    <n v="1"/>
    <n v="80"/>
    <x v="0"/>
    <n v="8"/>
    <x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s v="No"/>
    <n v="18"/>
    <x v="0"/>
    <n v="4"/>
    <n v="80"/>
    <x v="1"/>
    <n v="10"/>
    <x v="3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s v="No"/>
    <n v="12"/>
    <x v="0"/>
    <n v="4"/>
    <n v="80"/>
    <x v="0"/>
    <n v="12"/>
    <x v="1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s v="Yes"/>
    <n v="20"/>
    <x v="1"/>
    <n v="2"/>
    <n v="80"/>
    <x v="3"/>
    <n v="6"/>
    <x v="1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s v="No"/>
    <n v="17"/>
    <x v="0"/>
    <n v="1"/>
    <n v="80"/>
    <x v="0"/>
    <n v="4"/>
    <x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s v="Yes"/>
    <n v="11"/>
    <x v="0"/>
    <n v="3"/>
    <n v="80"/>
    <x v="2"/>
    <n v="20"/>
    <x v="1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s v="No"/>
    <n v="14"/>
    <x v="0"/>
    <n v="2"/>
    <n v="80"/>
    <x v="0"/>
    <n v="9"/>
    <x v="1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s v="No"/>
    <n v="14"/>
    <x v="0"/>
    <n v="1"/>
    <n v="80"/>
    <x v="0"/>
    <n v="4"/>
    <x v="1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s v="No"/>
    <n v="11"/>
    <x v="0"/>
    <n v="1"/>
    <n v="80"/>
    <x v="0"/>
    <n v="20"/>
    <x v="5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s v="No"/>
    <n v="12"/>
    <x v="0"/>
    <n v="4"/>
    <n v="80"/>
    <x v="0"/>
    <n v="10"/>
    <x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s v="Yes"/>
    <n v="14"/>
    <x v="0"/>
    <n v="1"/>
    <n v="80"/>
    <x v="1"/>
    <n v="18"/>
    <x v="5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s v="No"/>
    <n v="13"/>
    <x v="0"/>
    <n v="3"/>
    <n v="80"/>
    <x v="0"/>
    <n v="10"/>
    <x v="5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s v="No"/>
    <n v="11"/>
    <x v="0"/>
    <n v="4"/>
    <n v="80"/>
    <x v="0"/>
    <n v="9"/>
    <x v="1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s v="No"/>
    <n v="15"/>
    <x v="0"/>
    <n v="4"/>
    <n v="80"/>
    <x v="0"/>
    <n v="10"/>
    <x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s v="No"/>
    <n v="12"/>
    <x v="0"/>
    <n v="4"/>
    <n v="80"/>
    <x v="0"/>
    <n v="20"/>
    <x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s v="Yes"/>
    <n v="21"/>
    <x v="1"/>
    <n v="3"/>
    <n v="80"/>
    <x v="1"/>
    <n v="20"/>
    <x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s v="No"/>
    <n v="19"/>
    <x v="0"/>
    <n v="3"/>
    <n v="80"/>
    <x v="0"/>
    <n v="32"/>
    <x v="1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s v="No"/>
    <n v="15"/>
    <x v="0"/>
    <n v="2"/>
    <n v="80"/>
    <x v="2"/>
    <n v="23"/>
    <x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s v="No"/>
    <n v="14"/>
    <x v="0"/>
    <n v="4"/>
    <n v="80"/>
    <x v="0"/>
    <n v="10"/>
    <x v="4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s v="No"/>
    <n v="21"/>
    <x v="1"/>
    <n v="3"/>
    <n v="80"/>
    <x v="3"/>
    <n v="9"/>
    <x v="5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s v="No"/>
    <n v="12"/>
    <x v="0"/>
    <n v="2"/>
    <n v="80"/>
    <x v="1"/>
    <n v="22"/>
    <x v="1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s v="No"/>
    <n v="15"/>
    <x v="0"/>
    <n v="4"/>
    <n v="80"/>
    <x v="1"/>
    <n v="4"/>
    <x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s v="Yes"/>
    <n v="13"/>
    <x v="0"/>
    <n v="4"/>
    <n v="80"/>
    <x v="0"/>
    <n v="10"/>
    <x v="5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s v="No"/>
    <n v="14"/>
    <x v="0"/>
    <n v="1"/>
    <n v="80"/>
    <x v="1"/>
    <n v="10"/>
    <x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s v="Yes"/>
    <n v="14"/>
    <x v="0"/>
    <n v="4"/>
    <n v="80"/>
    <x v="0"/>
    <n v="10"/>
    <x v="5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s v="No"/>
    <n v="14"/>
    <x v="0"/>
    <n v="3"/>
    <n v="80"/>
    <x v="0"/>
    <n v="9"/>
    <x v="3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s v="Yes"/>
    <n v="12"/>
    <x v="0"/>
    <n v="4"/>
    <n v="80"/>
    <x v="3"/>
    <n v="28"/>
    <x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s v="No"/>
    <n v="23"/>
    <x v="1"/>
    <n v="4"/>
    <n v="80"/>
    <x v="1"/>
    <n v="10"/>
    <x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s v="No"/>
    <n v="11"/>
    <x v="0"/>
    <n v="3"/>
    <n v="80"/>
    <x v="0"/>
    <n v="1"/>
    <x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s v="Yes"/>
    <n v="12"/>
    <x v="0"/>
    <n v="4"/>
    <n v="80"/>
    <x v="0"/>
    <n v="7"/>
    <x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s v="No"/>
    <n v="18"/>
    <x v="0"/>
    <n v="3"/>
    <n v="80"/>
    <x v="1"/>
    <n v="7"/>
    <x v="3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s v="No"/>
    <n v="11"/>
    <x v="0"/>
    <n v="4"/>
    <n v="80"/>
    <x v="0"/>
    <n v="10"/>
    <x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s v="No"/>
    <n v="14"/>
    <x v="0"/>
    <n v="4"/>
    <n v="80"/>
    <x v="1"/>
    <n v="5"/>
    <x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s v="No"/>
    <n v="15"/>
    <x v="0"/>
    <n v="3"/>
    <n v="80"/>
    <x v="1"/>
    <n v="12"/>
    <x v="1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s v="No"/>
    <n v="11"/>
    <x v="0"/>
    <n v="3"/>
    <n v="80"/>
    <x v="0"/>
    <n v="30"/>
    <x v="4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s v="Yes"/>
    <n v="20"/>
    <x v="1"/>
    <n v="4"/>
    <n v="80"/>
    <x v="0"/>
    <n v="5"/>
    <x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s v="No"/>
    <n v="19"/>
    <x v="0"/>
    <n v="1"/>
    <n v="80"/>
    <x v="0"/>
    <n v="9"/>
    <x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s v="No"/>
    <n v="14"/>
    <x v="0"/>
    <n v="4"/>
    <n v="80"/>
    <x v="3"/>
    <n v="2"/>
    <x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s v="No"/>
    <n v="17"/>
    <x v="0"/>
    <n v="4"/>
    <n v="80"/>
    <x v="0"/>
    <n v="19"/>
    <x v="5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s v="No"/>
    <n v="11"/>
    <x v="0"/>
    <n v="1"/>
    <n v="80"/>
    <x v="1"/>
    <n v="16"/>
    <x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s v="No"/>
    <n v="15"/>
    <x v="0"/>
    <n v="4"/>
    <n v="80"/>
    <x v="3"/>
    <n v="10"/>
    <x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s v="Yes"/>
    <n v="13"/>
    <x v="0"/>
    <n v="2"/>
    <n v="80"/>
    <x v="1"/>
    <n v="6"/>
    <x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s v="No"/>
    <n v="14"/>
    <x v="0"/>
    <n v="3"/>
    <n v="80"/>
    <x v="1"/>
    <n v="7"/>
    <x v="1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s v="No"/>
    <n v="11"/>
    <x v="0"/>
    <n v="1"/>
    <n v="80"/>
    <x v="0"/>
    <n v="34"/>
    <x v="1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s v="Yes"/>
    <n v="13"/>
    <x v="0"/>
    <n v="3"/>
    <n v="80"/>
    <x v="0"/>
    <n v="10"/>
    <x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s v="No"/>
    <n v="23"/>
    <x v="1"/>
    <n v="2"/>
    <n v="80"/>
    <x v="0"/>
    <n v="6"/>
    <x v="3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s v="No"/>
    <n v="13"/>
    <x v="0"/>
    <n v="1"/>
    <n v="80"/>
    <x v="0"/>
    <n v="9"/>
    <x v="1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s v="No"/>
    <n v="18"/>
    <x v="0"/>
    <n v="4"/>
    <n v="80"/>
    <x v="0"/>
    <n v="2"/>
    <x v="1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s v="Yes"/>
    <n v="12"/>
    <x v="0"/>
    <n v="4"/>
    <n v="80"/>
    <x v="0"/>
    <n v="8"/>
    <x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s v="No"/>
    <n v="22"/>
    <x v="1"/>
    <n v="3"/>
    <n v="80"/>
    <x v="0"/>
    <n v="6"/>
    <x v="3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s v="Yes"/>
    <n v="13"/>
    <x v="0"/>
    <n v="4"/>
    <n v="80"/>
    <x v="1"/>
    <n v="24"/>
    <x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s v="No"/>
    <n v="15"/>
    <x v="0"/>
    <n v="2"/>
    <n v="80"/>
    <x v="0"/>
    <n v="10"/>
    <x v="4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s v="No"/>
    <n v="18"/>
    <x v="0"/>
    <n v="1"/>
    <n v="80"/>
    <x v="1"/>
    <n v="5"/>
    <x v="1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s v="No"/>
    <n v="14"/>
    <x v="0"/>
    <n v="1"/>
    <n v="80"/>
    <x v="1"/>
    <n v="5"/>
    <x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s v="No"/>
    <n v="12"/>
    <x v="0"/>
    <n v="1"/>
    <n v="80"/>
    <x v="1"/>
    <n v="11"/>
    <x v="1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s v="No"/>
    <n v="17"/>
    <x v="0"/>
    <n v="3"/>
    <n v="80"/>
    <x v="0"/>
    <n v="6"/>
    <x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s v="No"/>
    <n v="16"/>
    <x v="0"/>
    <n v="3"/>
    <n v="80"/>
    <x v="0"/>
    <n v="10"/>
    <x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s v="Yes"/>
    <n v="11"/>
    <x v="0"/>
    <n v="2"/>
    <n v="80"/>
    <x v="3"/>
    <n v="9"/>
    <x v="5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s v="No"/>
    <n v="19"/>
    <x v="0"/>
    <n v="2"/>
    <n v="80"/>
    <x v="1"/>
    <n v="5"/>
    <x v="1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s v="Yes"/>
    <n v="13"/>
    <x v="0"/>
    <n v="2"/>
    <n v="80"/>
    <x v="3"/>
    <n v="6"/>
    <x v="1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s v="Yes"/>
    <n v="12"/>
    <x v="0"/>
    <n v="4"/>
    <n v="80"/>
    <x v="0"/>
    <n v="17"/>
    <x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s v="No"/>
    <n v="11"/>
    <x v="0"/>
    <n v="3"/>
    <n v="80"/>
    <x v="0"/>
    <n v="6"/>
    <x v="1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s v="No"/>
    <n v="16"/>
    <x v="0"/>
    <n v="2"/>
    <n v="80"/>
    <x v="1"/>
    <n v="3"/>
    <x v="4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s v="No"/>
    <n v="21"/>
    <x v="1"/>
    <n v="3"/>
    <n v="80"/>
    <x v="3"/>
    <n v="7"/>
    <x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s v="No"/>
    <n v="24"/>
    <x v="1"/>
    <n v="4"/>
    <n v="80"/>
    <x v="1"/>
    <n v="8"/>
    <x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s v="No"/>
    <n v="17"/>
    <x v="0"/>
    <n v="2"/>
    <n v="80"/>
    <x v="1"/>
    <n v="6"/>
    <x v="4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s v="No"/>
    <n v="13"/>
    <x v="0"/>
    <n v="2"/>
    <n v="80"/>
    <x v="1"/>
    <n v="24"/>
    <x v="5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s v="Yes"/>
    <n v="21"/>
    <x v="1"/>
    <n v="3"/>
    <n v="80"/>
    <x v="3"/>
    <n v="1"/>
    <x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s v="No"/>
    <n v="11"/>
    <x v="0"/>
    <n v="3"/>
    <n v="80"/>
    <x v="2"/>
    <n v="1"/>
    <x v="5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s v="No"/>
    <n v="20"/>
    <x v="1"/>
    <n v="2"/>
    <n v="80"/>
    <x v="1"/>
    <n v="9"/>
    <x v="1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s v="No"/>
    <n v="16"/>
    <x v="0"/>
    <n v="4"/>
    <n v="80"/>
    <x v="0"/>
    <n v="30"/>
    <x v="1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s v="Yes"/>
    <n v="11"/>
    <x v="0"/>
    <n v="4"/>
    <n v="80"/>
    <x v="1"/>
    <n v="1"/>
    <x v="4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s v="No"/>
    <n v="11"/>
    <x v="0"/>
    <n v="4"/>
    <n v="80"/>
    <x v="0"/>
    <n v="14"/>
    <x v="1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s v="No"/>
    <n v="15"/>
    <x v="0"/>
    <n v="3"/>
    <n v="80"/>
    <x v="0"/>
    <n v="6"/>
    <x v="1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s v="Yes"/>
    <n v="11"/>
    <x v="0"/>
    <n v="3"/>
    <n v="80"/>
    <x v="1"/>
    <n v="26"/>
    <x v="1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s v="No"/>
    <n v="15"/>
    <x v="0"/>
    <n v="1"/>
    <n v="80"/>
    <x v="1"/>
    <n v="10"/>
    <x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s v="No"/>
    <n v="24"/>
    <x v="1"/>
    <n v="3"/>
    <n v="80"/>
    <x v="1"/>
    <n v="10"/>
    <x v="1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s v="Yes"/>
    <n v="12"/>
    <x v="0"/>
    <n v="4"/>
    <n v="80"/>
    <x v="0"/>
    <n v="40"/>
    <x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s v="No"/>
    <n v="13"/>
    <x v="0"/>
    <n v="3"/>
    <n v="80"/>
    <x v="0"/>
    <n v="7"/>
    <x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s v="Yes"/>
    <n v="13"/>
    <x v="0"/>
    <n v="4"/>
    <n v="80"/>
    <x v="1"/>
    <n v="8"/>
    <x v="5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s v="No"/>
    <n v="17"/>
    <x v="0"/>
    <n v="4"/>
    <n v="80"/>
    <x v="0"/>
    <n v="5"/>
    <x v="1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s v="No"/>
    <n v="13"/>
    <x v="0"/>
    <n v="2"/>
    <n v="80"/>
    <x v="1"/>
    <n v="8"/>
    <x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s v="No"/>
    <n v="12"/>
    <x v="0"/>
    <n v="3"/>
    <n v="80"/>
    <x v="1"/>
    <n v="14"/>
    <x v="1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s v="No"/>
    <n v="14"/>
    <x v="0"/>
    <n v="4"/>
    <n v="80"/>
    <x v="0"/>
    <n v="10"/>
    <x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s v="Yes"/>
    <n v="24"/>
    <x v="1"/>
    <n v="2"/>
    <n v="80"/>
    <x v="0"/>
    <n v="12"/>
    <x v="5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s v="No"/>
    <n v="14"/>
    <x v="0"/>
    <n v="4"/>
    <n v="80"/>
    <x v="0"/>
    <n v="1"/>
    <x v="1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s v="No"/>
    <n v="13"/>
    <x v="0"/>
    <n v="4"/>
    <n v="80"/>
    <x v="1"/>
    <n v="10"/>
    <x v="1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s v="No"/>
    <n v="15"/>
    <x v="0"/>
    <n v="3"/>
    <n v="80"/>
    <x v="1"/>
    <n v="13"/>
    <x v="1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s v="No"/>
    <n v="16"/>
    <x v="0"/>
    <n v="3"/>
    <n v="80"/>
    <x v="0"/>
    <n v="6"/>
    <x v="1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s v="No"/>
    <n v="18"/>
    <x v="0"/>
    <n v="1"/>
    <n v="80"/>
    <x v="3"/>
    <n v="9"/>
    <x v="1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s v="No"/>
    <n v="16"/>
    <x v="0"/>
    <n v="3"/>
    <n v="80"/>
    <x v="0"/>
    <n v="12"/>
    <x v="1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s v="No"/>
    <n v="24"/>
    <x v="1"/>
    <n v="3"/>
    <n v="80"/>
    <x v="1"/>
    <n v="22"/>
    <x v="1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s v="Yes"/>
    <n v="16"/>
    <x v="0"/>
    <n v="2"/>
    <n v="80"/>
    <x v="1"/>
    <n v="9"/>
    <x v="1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s v="No"/>
    <n v="21"/>
    <x v="1"/>
    <n v="2"/>
    <n v="80"/>
    <x v="0"/>
    <n v="17"/>
    <x v="1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s v="Yes"/>
    <n v="20"/>
    <x v="1"/>
    <n v="1"/>
    <n v="80"/>
    <x v="0"/>
    <n v="8"/>
    <x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s v="No"/>
    <n v="19"/>
    <x v="0"/>
    <n v="3"/>
    <n v="80"/>
    <x v="1"/>
    <n v="4"/>
    <x v="4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s v="Yes"/>
    <n v="14"/>
    <x v="0"/>
    <n v="1"/>
    <n v="80"/>
    <x v="1"/>
    <n v="8"/>
    <x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s v="No"/>
    <n v="11"/>
    <x v="0"/>
    <n v="3"/>
    <n v="80"/>
    <x v="2"/>
    <n v="0"/>
    <x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s v="No"/>
    <n v="14"/>
    <x v="0"/>
    <n v="3"/>
    <n v="80"/>
    <x v="1"/>
    <n v="29"/>
    <x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s v="No"/>
    <n v="12"/>
    <x v="0"/>
    <n v="4"/>
    <n v="80"/>
    <x v="0"/>
    <n v="10"/>
    <x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s v="No"/>
    <n v="13"/>
    <x v="0"/>
    <n v="3"/>
    <n v="80"/>
    <x v="0"/>
    <n v="6"/>
    <x v="1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s v="No"/>
    <n v="22"/>
    <x v="1"/>
    <n v="1"/>
    <n v="80"/>
    <x v="1"/>
    <n v="9"/>
    <x v="3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s v="No"/>
    <n v="11"/>
    <x v="0"/>
    <n v="4"/>
    <n v="80"/>
    <x v="0"/>
    <n v="6"/>
    <x v="1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s v="Yes"/>
    <n v="14"/>
    <x v="0"/>
    <n v="4"/>
    <n v="80"/>
    <x v="1"/>
    <n v="18"/>
    <x v="4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s v="No"/>
    <n v="11"/>
    <x v="0"/>
    <n v="3"/>
    <n v="80"/>
    <x v="1"/>
    <n v="8"/>
    <x v="1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s v="No"/>
    <n v="12"/>
    <x v="0"/>
    <n v="2"/>
    <n v="80"/>
    <x v="1"/>
    <n v="10"/>
    <x v="1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s v="Yes"/>
    <n v="18"/>
    <x v="0"/>
    <n v="4"/>
    <n v="80"/>
    <x v="1"/>
    <n v="35"/>
    <x v="1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s v="Yes"/>
    <n v="12"/>
    <x v="0"/>
    <n v="3"/>
    <n v="80"/>
    <x v="1"/>
    <n v="18"/>
    <x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s v="No"/>
    <n v="12"/>
    <x v="0"/>
    <n v="3"/>
    <n v="80"/>
    <x v="1"/>
    <n v="9"/>
    <x v="1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s v="No"/>
    <n v="22"/>
    <x v="1"/>
    <n v="3"/>
    <n v="80"/>
    <x v="0"/>
    <n v="31"/>
    <x v="1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s v="No"/>
    <n v="19"/>
    <x v="0"/>
    <n v="4"/>
    <n v="80"/>
    <x v="3"/>
    <n v="9"/>
    <x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s v="No"/>
    <n v="13"/>
    <x v="0"/>
    <n v="4"/>
    <n v="80"/>
    <x v="1"/>
    <n v="6"/>
    <x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s v="No"/>
    <n v="22"/>
    <x v="1"/>
    <n v="1"/>
    <n v="80"/>
    <x v="3"/>
    <n v="4"/>
    <x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s v="Yes"/>
    <n v="24"/>
    <x v="1"/>
    <n v="3"/>
    <n v="80"/>
    <x v="1"/>
    <n v="10"/>
    <x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s v="Yes"/>
    <n v="14"/>
    <x v="0"/>
    <n v="4"/>
    <n v="80"/>
    <x v="0"/>
    <n v="8"/>
    <x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s v="No"/>
    <n v="21"/>
    <x v="1"/>
    <n v="3"/>
    <n v="80"/>
    <x v="0"/>
    <n v="6"/>
    <x v="1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s v="Yes"/>
    <n v="18"/>
    <x v="0"/>
    <n v="4"/>
    <n v="80"/>
    <x v="0"/>
    <n v="5"/>
    <x v="1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s v="Yes"/>
    <n v="20"/>
    <x v="1"/>
    <n v="2"/>
    <n v="80"/>
    <x v="1"/>
    <n v="17"/>
    <x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s v="Yes"/>
    <n v="19"/>
    <x v="0"/>
    <n v="1"/>
    <n v="80"/>
    <x v="1"/>
    <n v="10"/>
    <x v="1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s v="No"/>
    <n v="12"/>
    <x v="0"/>
    <n v="2"/>
    <n v="80"/>
    <x v="1"/>
    <n v="4"/>
    <x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s v="No"/>
    <n v="12"/>
    <x v="0"/>
    <n v="1"/>
    <n v="80"/>
    <x v="0"/>
    <n v="5"/>
    <x v="4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s v="No"/>
    <n v="16"/>
    <x v="0"/>
    <n v="2"/>
    <n v="80"/>
    <x v="1"/>
    <n v="7"/>
    <x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s v="No"/>
    <n v="17"/>
    <x v="0"/>
    <n v="4"/>
    <n v="80"/>
    <x v="0"/>
    <n v="6"/>
    <x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s v="No"/>
    <n v="14"/>
    <x v="0"/>
    <n v="4"/>
    <n v="80"/>
    <x v="1"/>
    <n v="10"/>
    <x v="1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s v="No"/>
    <n v="19"/>
    <x v="0"/>
    <n v="4"/>
    <n v="80"/>
    <x v="1"/>
    <n v="3"/>
    <x v="1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s v="Yes"/>
    <n v="13"/>
    <x v="0"/>
    <n v="2"/>
    <n v="80"/>
    <x v="1"/>
    <n v="17"/>
    <x v="4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s v="Yes"/>
    <n v="19"/>
    <x v="0"/>
    <n v="2"/>
    <n v="80"/>
    <x v="1"/>
    <n v="8"/>
    <x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s v="Yes"/>
    <n v="19"/>
    <x v="0"/>
    <n v="3"/>
    <n v="80"/>
    <x v="2"/>
    <n v="5"/>
    <x v="1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s v="No"/>
    <n v="14"/>
    <x v="0"/>
    <n v="3"/>
    <n v="80"/>
    <x v="1"/>
    <n v="28"/>
    <x v="1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s v="No"/>
    <n v="16"/>
    <x v="0"/>
    <n v="1"/>
    <n v="80"/>
    <x v="0"/>
    <n v="16"/>
    <x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s v="No"/>
    <n v="15"/>
    <x v="0"/>
    <n v="2"/>
    <n v="80"/>
    <x v="1"/>
    <n v="10"/>
    <x v="1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s v="No"/>
    <n v="18"/>
    <x v="0"/>
    <n v="3"/>
    <n v="80"/>
    <x v="0"/>
    <n v="33"/>
    <x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s v="No"/>
    <n v="13"/>
    <x v="0"/>
    <n v="2"/>
    <n v="80"/>
    <x v="1"/>
    <n v="12"/>
    <x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s v="Yes"/>
    <n v="22"/>
    <x v="1"/>
    <n v="1"/>
    <n v="80"/>
    <x v="1"/>
    <n v="8"/>
    <x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s v="Yes"/>
    <n v="13"/>
    <x v="0"/>
    <n v="4"/>
    <n v="80"/>
    <x v="0"/>
    <n v="10"/>
    <x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s v="No"/>
    <n v="11"/>
    <x v="0"/>
    <n v="4"/>
    <n v="80"/>
    <x v="1"/>
    <n v="31"/>
    <x v="1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s v="No"/>
    <n v="11"/>
    <x v="0"/>
    <n v="3"/>
    <n v="80"/>
    <x v="3"/>
    <n v="13"/>
    <x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s v="Yes"/>
    <n v="11"/>
    <x v="0"/>
    <n v="3"/>
    <n v="80"/>
    <x v="1"/>
    <n v="7"/>
    <x v="5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s v="Yes"/>
    <n v="24"/>
    <x v="1"/>
    <n v="3"/>
    <n v="80"/>
    <x v="0"/>
    <n v="1"/>
    <x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s v="No"/>
    <n v="14"/>
    <x v="0"/>
    <n v="3"/>
    <n v="80"/>
    <x v="2"/>
    <n v="8"/>
    <x v="3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s v="Yes"/>
    <n v="13"/>
    <x v="0"/>
    <n v="4"/>
    <n v="80"/>
    <x v="0"/>
    <n v="8"/>
    <x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s v="No"/>
    <n v="14"/>
    <x v="0"/>
    <n v="2"/>
    <n v="80"/>
    <x v="0"/>
    <n v="4"/>
    <x v="1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s v="Yes"/>
    <n v="14"/>
    <x v="0"/>
    <n v="4"/>
    <n v="80"/>
    <x v="1"/>
    <n v="3"/>
    <x v="1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s v="No"/>
    <n v="21"/>
    <x v="1"/>
    <n v="3"/>
    <n v="80"/>
    <x v="1"/>
    <n v="4"/>
    <x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s v="No"/>
    <n v="13"/>
    <x v="0"/>
    <n v="4"/>
    <n v="80"/>
    <x v="0"/>
    <n v="2"/>
    <x v="1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s v="No"/>
    <n v="19"/>
    <x v="0"/>
    <n v="1"/>
    <n v="80"/>
    <x v="0"/>
    <n v="1"/>
    <x v="1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s v="Yes"/>
    <n v="17"/>
    <x v="0"/>
    <n v="1"/>
    <n v="80"/>
    <x v="1"/>
    <n v="17"/>
    <x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s v="Yes"/>
    <n v="18"/>
    <x v="0"/>
    <n v="1"/>
    <n v="80"/>
    <x v="0"/>
    <n v="3"/>
    <x v="1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s v="Yes"/>
    <n v="19"/>
    <x v="0"/>
    <n v="1"/>
    <n v="80"/>
    <x v="1"/>
    <n v="4"/>
    <x v="1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s v="Yes"/>
    <n v="13"/>
    <x v="0"/>
    <n v="3"/>
    <n v="80"/>
    <x v="1"/>
    <n v="10"/>
    <x v="4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s v="No"/>
    <n v="18"/>
    <x v="0"/>
    <n v="2"/>
    <n v="80"/>
    <x v="1"/>
    <n v="6"/>
    <x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s v="Yes"/>
    <n v="21"/>
    <x v="1"/>
    <n v="4"/>
    <n v="80"/>
    <x v="0"/>
    <n v="8"/>
    <x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s v="No"/>
    <n v="19"/>
    <x v="0"/>
    <n v="3"/>
    <n v="80"/>
    <x v="0"/>
    <n v="1"/>
    <x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s v="No"/>
    <n v="14"/>
    <x v="0"/>
    <n v="2"/>
    <n v="80"/>
    <x v="3"/>
    <n v="1"/>
    <x v="1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s v="No"/>
    <n v="17"/>
    <x v="0"/>
    <n v="1"/>
    <n v="80"/>
    <x v="0"/>
    <n v="10"/>
    <x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s v="Yes"/>
    <n v="11"/>
    <x v="0"/>
    <n v="2"/>
    <n v="80"/>
    <x v="0"/>
    <n v="6"/>
    <x v="4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s v="Yes"/>
    <n v="13"/>
    <x v="0"/>
    <n v="4"/>
    <n v="80"/>
    <x v="1"/>
    <n v="24"/>
    <x v="1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s v="No"/>
    <n v="15"/>
    <x v="0"/>
    <n v="2"/>
    <n v="80"/>
    <x v="0"/>
    <n v="13"/>
    <x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s v="Yes"/>
    <n v="25"/>
    <x v="1"/>
    <n v="4"/>
    <n v="80"/>
    <x v="1"/>
    <n v="10"/>
    <x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s v="No"/>
    <n v="11"/>
    <x v="0"/>
    <n v="3"/>
    <n v="80"/>
    <x v="1"/>
    <n v="29"/>
    <x v="1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s v="No"/>
    <n v="17"/>
    <x v="0"/>
    <n v="1"/>
    <n v="80"/>
    <x v="3"/>
    <n v="13"/>
    <x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s v="No"/>
    <n v="13"/>
    <x v="0"/>
    <n v="4"/>
    <n v="80"/>
    <x v="1"/>
    <n v="9"/>
    <x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s v="No"/>
    <n v="18"/>
    <x v="0"/>
    <n v="3"/>
    <n v="80"/>
    <x v="0"/>
    <n v="8"/>
    <x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s v="No"/>
    <n v="13"/>
    <x v="0"/>
    <n v="2"/>
    <n v="80"/>
    <x v="1"/>
    <n v="15"/>
    <x v="1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s v="No"/>
    <n v="20"/>
    <x v="1"/>
    <n v="3"/>
    <n v="80"/>
    <x v="0"/>
    <n v="5"/>
    <x v="1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s v="Yes"/>
    <n v="18"/>
    <x v="0"/>
    <n v="3"/>
    <n v="80"/>
    <x v="2"/>
    <n v="1"/>
    <x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s v="No"/>
    <n v="12"/>
    <x v="0"/>
    <n v="2"/>
    <n v="80"/>
    <x v="1"/>
    <n v="11"/>
    <x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s v="No"/>
    <n v="12"/>
    <x v="0"/>
    <n v="2"/>
    <n v="80"/>
    <x v="0"/>
    <n v="7"/>
    <x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s v="Yes"/>
    <n v="13"/>
    <x v="0"/>
    <n v="3"/>
    <n v="80"/>
    <x v="0"/>
    <n v="20"/>
    <x v="1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s v="No"/>
    <n v="21"/>
    <x v="1"/>
    <n v="3"/>
    <n v="80"/>
    <x v="0"/>
    <n v="16"/>
    <x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s v="Yes"/>
    <n v="13"/>
    <x v="0"/>
    <n v="2"/>
    <n v="80"/>
    <x v="0"/>
    <n v="1"/>
    <x v="1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s v="No"/>
    <n v="19"/>
    <x v="0"/>
    <n v="2"/>
    <n v="80"/>
    <x v="0"/>
    <n v="1"/>
    <x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s v="Yes"/>
    <n v="11"/>
    <x v="0"/>
    <n v="3"/>
    <n v="80"/>
    <x v="3"/>
    <n v="10"/>
    <x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s v="Yes"/>
    <n v="14"/>
    <x v="0"/>
    <n v="4"/>
    <n v="80"/>
    <x v="1"/>
    <n v="3"/>
    <x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s v="No"/>
    <n v="12"/>
    <x v="0"/>
    <n v="3"/>
    <n v="80"/>
    <x v="1"/>
    <n v="8"/>
    <x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s v="Yes"/>
    <n v="11"/>
    <x v="0"/>
    <n v="1"/>
    <n v="80"/>
    <x v="1"/>
    <n v="16"/>
    <x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s v="No"/>
    <n v="14"/>
    <x v="0"/>
    <n v="1"/>
    <n v="80"/>
    <x v="0"/>
    <n v="6"/>
    <x v="1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s v="No"/>
    <n v="11"/>
    <x v="0"/>
    <n v="3"/>
    <n v="80"/>
    <x v="0"/>
    <n v="17"/>
    <x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s v="No"/>
    <n v="12"/>
    <x v="0"/>
    <n v="2"/>
    <n v="80"/>
    <x v="0"/>
    <n v="9"/>
    <x v="3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s v="No"/>
    <n v="15"/>
    <x v="0"/>
    <n v="2"/>
    <n v="80"/>
    <x v="1"/>
    <n v="3"/>
    <x v="3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s v="No"/>
    <n v="16"/>
    <x v="0"/>
    <n v="2"/>
    <n v="80"/>
    <x v="0"/>
    <n v="5"/>
    <x v="1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s v="No"/>
    <n v="15"/>
    <x v="0"/>
    <n v="2"/>
    <n v="80"/>
    <x v="1"/>
    <n v="26"/>
    <x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s v="No"/>
    <n v="24"/>
    <x v="1"/>
    <n v="1"/>
    <n v="80"/>
    <x v="0"/>
    <n v="7"/>
    <x v="5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s v="No"/>
    <n v="13"/>
    <x v="0"/>
    <n v="3"/>
    <n v="80"/>
    <x v="1"/>
    <n v="22"/>
    <x v="1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s v="No"/>
    <n v="11"/>
    <x v="0"/>
    <n v="1"/>
    <n v="80"/>
    <x v="1"/>
    <n v="10"/>
    <x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s v="Yes"/>
    <n v="13"/>
    <x v="0"/>
    <n v="2"/>
    <n v="80"/>
    <x v="0"/>
    <n v="6"/>
    <x v="4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s v="No"/>
    <n v="13"/>
    <x v="0"/>
    <n v="2"/>
    <n v="80"/>
    <x v="1"/>
    <n v="12"/>
    <x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s v="No"/>
    <n v="18"/>
    <x v="0"/>
    <n v="4"/>
    <n v="80"/>
    <x v="0"/>
    <n v="9"/>
    <x v="1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s v="Yes"/>
    <n v="16"/>
    <x v="0"/>
    <n v="4"/>
    <n v="80"/>
    <x v="0"/>
    <n v="22"/>
    <x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s v="Yes"/>
    <n v="19"/>
    <x v="0"/>
    <n v="3"/>
    <n v="80"/>
    <x v="0"/>
    <n v="20"/>
    <x v="1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s v="No"/>
    <n v="13"/>
    <x v="0"/>
    <n v="4"/>
    <n v="80"/>
    <x v="3"/>
    <n v="12"/>
    <x v="1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s v="Yes"/>
    <n v="22"/>
    <x v="1"/>
    <n v="1"/>
    <n v="80"/>
    <x v="0"/>
    <n v="4"/>
    <x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s v="No"/>
    <n v="11"/>
    <x v="0"/>
    <n v="4"/>
    <n v="80"/>
    <x v="0"/>
    <n v="10"/>
    <x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s v="Yes"/>
    <n v="20"/>
    <x v="1"/>
    <n v="3"/>
    <n v="80"/>
    <x v="0"/>
    <n v="3"/>
    <x v="3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s v="No"/>
    <n v="18"/>
    <x v="0"/>
    <n v="1"/>
    <n v="80"/>
    <x v="0"/>
    <n v="5"/>
    <x v="5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s v="No"/>
    <n v="14"/>
    <x v="0"/>
    <n v="4"/>
    <n v="80"/>
    <x v="3"/>
    <n v="8"/>
    <x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s v="No"/>
    <n v="22"/>
    <x v="1"/>
    <n v="3"/>
    <n v="80"/>
    <x v="1"/>
    <n v="32"/>
    <x v="4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s v="Yes"/>
    <n v="13"/>
    <x v="0"/>
    <n v="1"/>
    <n v="80"/>
    <x v="1"/>
    <n v="6"/>
    <x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s v="No"/>
    <n v="17"/>
    <x v="0"/>
    <n v="2"/>
    <n v="80"/>
    <x v="1"/>
    <n v="21"/>
    <x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s v="No"/>
    <n v="14"/>
    <x v="0"/>
    <n v="2"/>
    <n v="80"/>
    <x v="1"/>
    <n v="4"/>
    <x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s v="Yes"/>
    <n v="15"/>
    <x v="0"/>
    <n v="3"/>
    <n v="80"/>
    <x v="1"/>
    <n v="9"/>
    <x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s v="Yes"/>
    <n v="17"/>
    <x v="0"/>
    <n v="3"/>
    <n v="80"/>
    <x v="0"/>
    <n v="9"/>
    <x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s v="Yes"/>
    <n v="11"/>
    <x v="0"/>
    <n v="2"/>
    <n v="80"/>
    <x v="0"/>
    <n v="7"/>
    <x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s v="Yes"/>
    <n v="18"/>
    <x v="0"/>
    <n v="4"/>
    <n v="80"/>
    <x v="1"/>
    <n v="22"/>
    <x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s v="No"/>
    <n v="17"/>
    <x v="0"/>
    <n v="2"/>
    <n v="80"/>
    <x v="1"/>
    <n v="3"/>
    <x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s v="No"/>
    <n v="13"/>
    <x v="0"/>
    <n v="2"/>
    <n v="80"/>
    <x v="1"/>
    <n v="13"/>
    <x v="1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s v="No"/>
    <n v="15"/>
    <x v="0"/>
    <n v="2"/>
    <n v="80"/>
    <x v="3"/>
    <n v="5"/>
    <x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s v="Yes"/>
    <n v="24"/>
    <x v="1"/>
    <n v="4"/>
    <n v="80"/>
    <x v="1"/>
    <n v="5"/>
    <x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s v="No"/>
    <n v="12"/>
    <x v="0"/>
    <n v="3"/>
    <n v="80"/>
    <x v="1"/>
    <n v="4"/>
    <x v="4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s v="No"/>
    <n v="15"/>
    <x v="0"/>
    <n v="4"/>
    <n v="80"/>
    <x v="0"/>
    <n v="0"/>
    <x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s v="No"/>
    <n v="11"/>
    <x v="0"/>
    <n v="3"/>
    <n v="80"/>
    <x v="1"/>
    <n v="22"/>
    <x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s v="Yes"/>
    <n v="11"/>
    <x v="0"/>
    <n v="3"/>
    <n v="80"/>
    <x v="1"/>
    <n v="16"/>
    <x v="1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s v="Yes"/>
    <n v="12"/>
    <x v="0"/>
    <n v="3"/>
    <n v="80"/>
    <x v="2"/>
    <n v="9"/>
    <x v="5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s v="Yes"/>
    <n v="15"/>
    <x v="0"/>
    <n v="1"/>
    <n v="80"/>
    <x v="0"/>
    <n v="1"/>
    <x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s v="No"/>
    <n v="17"/>
    <x v="0"/>
    <n v="1"/>
    <n v="80"/>
    <x v="0"/>
    <n v="4"/>
    <x v="1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s v="No"/>
    <n v="12"/>
    <x v="0"/>
    <n v="2"/>
    <n v="80"/>
    <x v="0"/>
    <n v="8"/>
    <x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s v="No"/>
    <n v="15"/>
    <x v="0"/>
    <n v="1"/>
    <n v="80"/>
    <x v="1"/>
    <n v="4"/>
    <x v="1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s v="No"/>
    <n v="13"/>
    <x v="0"/>
    <n v="4"/>
    <n v="80"/>
    <x v="0"/>
    <n v="19"/>
    <x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s v="No"/>
    <n v="14"/>
    <x v="0"/>
    <n v="2"/>
    <n v="80"/>
    <x v="0"/>
    <n v="27"/>
    <x v="1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s v="No"/>
    <n v="14"/>
    <x v="0"/>
    <n v="2"/>
    <n v="80"/>
    <x v="0"/>
    <n v="8"/>
    <x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s v="No"/>
    <n v="16"/>
    <x v="0"/>
    <n v="3"/>
    <n v="80"/>
    <x v="1"/>
    <n v="21"/>
    <x v="1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s v="No"/>
    <n v="18"/>
    <x v="0"/>
    <n v="2"/>
    <n v="80"/>
    <x v="1"/>
    <n v="4"/>
    <x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s v="No"/>
    <n v="20"/>
    <x v="1"/>
    <n v="1"/>
    <n v="80"/>
    <x v="1"/>
    <n v="3"/>
    <x v="5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s v="No"/>
    <n v="13"/>
    <x v="0"/>
    <n v="2"/>
    <n v="80"/>
    <x v="0"/>
    <n v="21"/>
    <x v="1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s v="No"/>
    <n v="18"/>
    <x v="0"/>
    <n v="2"/>
    <n v="80"/>
    <x v="0"/>
    <n v="8"/>
    <x v="3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s v="Yes"/>
    <n v="13"/>
    <x v="0"/>
    <n v="1"/>
    <n v="80"/>
    <x v="0"/>
    <n v="30"/>
    <x v="5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s v="No"/>
    <n v="15"/>
    <x v="0"/>
    <n v="1"/>
    <n v="80"/>
    <x v="0"/>
    <n v="15"/>
    <x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s v="Yes"/>
    <n v="14"/>
    <x v="0"/>
    <n v="4"/>
    <n v="80"/>
    <x v="3"/>
    <n v="17"/>
    <x v="1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s v="No"/>
    <n v="22"/>
    <x v="1"/>
    <n v="2"/>
    <n v="80"/>
    <x v="3"/>
    <n v="21"/>
    <x v="1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s v="Yes"/>
    <n v="12"/>
    <x v="0"/>
    <n v="3"/>
    <n v="80"/>
    <x v="0"/>
    <n v="19"/>
    <x v="4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s v="No"/>
    <n v="18"/>
    <x v="0"/>
    <n v="4"/>
    <n v="80"/>
    <x v="0"/>
    <n v="7"/>
    <x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s v="No"/>
    <n v="15"/>
    <x v="0"/>
    <n v="4"/>
    <n v="80"/>
    <x v="1"/>
    <n v="33"/>
    <x v="1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s v="Yes"/>
    <n v="18"/>
    <x v="0"/>
    <n v="3"/>
    <n v="80"/>
    <x v="1"/>
    <n v="23"/>
    <x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s v="No"/>
    <n v="12"/>
    <x v="0"/>
    <n v="1"/>
    <n v="80"/>
    <x v="1"/>
    <n v="19"/>
    <x v="1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s v="No"/>
    <n v="16"/>
    <x v="0"/>
    <n v="3"/>
    <n v="80"/>
    <x v="0"/>
    <n v="18"/>
    <x v="4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s v="Yes"/>
    <n v="13"/>
    <x v="0"/>
    <n v="3"/>
    <n v="80"/>
    <x v="0"/>
    <n v="21"/>
    <x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s v="No"/>
    <n v="19"/>
    <x v="0"/>
    <n v="4"/>
    <n v="80"/>
    <x v="0"/>
    <n v="3"/>
    <x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s v="No"/>
    <n v="13"/>
    <x v="0"/>
    <n v="2"/>
    <n v="80"/>
    <x v="1"/>
    <n v="26"/>
    <x v="5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s v="No"/>
    <n v="12"/>
    <x v="0"/>
    <n v="2"/>
    <n v="80"/>
    <x v="0"/>
    <n v="10"/>
    <x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s v="No"/>
    <n v="11"/>
    <x v="0"/>
    <n v="4"/>
    <n v="80"/>
    <x v="1"/>
    <n v="16"/>
    <x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s v="Yes"/>
    <n v="14"/>
    <x v="0"/>
    <n v="3"/>
    <n v="80"/>
    <x v="1"/>
    <n v="14"/>
    <x v="4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s v="No"/>
    <n v="16"/>
    <x v="0"/>
    <n v="1"/>
    <n v="80"/>
    <x v="0"/>
    <n v="6"/>
    <x v="1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s v="No"/>
    <n v="12"/>
    <x v="0"/>
    <n v="1"/>
    <n v="80"/>
    <x v="1"/>
    <n v="30"/>
    <x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s v="No"/>
    <n v="14"/>
    <x v="0"/>
    <n v="2"/>
    <n v="80"/>
    <x v="1"/>
    <n v="9"/>
    <x v="1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s v="Yes"/>
    <n v="14"/>
    <x v="0"/>
    <n v="2"/>
    <n v="80"/>
    <x v="1"/>
    <n v="6"/>
    <x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s v="Yes"/>
    <n v="19"/>
    <x v="0"/>
    <n v="4"/>
    <n v="80"/>
    <x v="1"/>
    <n v="1"/>
    <x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s v="No"/>
    <n v="22"/>
    <x v="1"/>
    <n v="2"/>
    <n v="80"/>
    <x v="0"/>
    <n v="1"/>
    <x v="3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s v="No"/>
    <n v="16"/>
    <x v="0"/>
    <n v="1"/>
    <n v="80"/>
    <x v="1"/>
    <n v="8"/>
    <x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s v="Yes"/>
    <n v="11"/>
    <x v="0"/>
    <n v="4"/>
    <n v="80"/>
    <x v="1"/>
    <n v="29"/>
    <x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s v="No"/>
    <n v="15"/>
    <x v="0"/>
    <n v="1"/>
    <n v="80"/>
    <x v="0"/>
    <n v="8"/>
    <x v="1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s v="No"/>
    <n v="14"/>
    <x v="0"/>
    <n v="2"/>
    <n v="80"/>
    <x v="1"/>
    <n v="8"/>
    <x v="1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s v="No"/>
    <n v="13"/>
    <x v="0"/>
    <n v="3"/>
    <n v="80"/>
    <x v="3"/>
    <n v="5"/>
    <x v="3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s v="No"/>
    <n v="17"/>
    <x v="0"/>
    <n v="4"/>
    <n v="80"/>
    <x v="3"/>
    <n v="23"/>
    <x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s v="No"/>
    <n v="11"/>
    <x v="0"/>
    <n v="2"/>
    <n v="80"/>
    <x v="1"/>
    <n v="13"/>
    <x v="5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s v="No"/>
    <n v="19"/>
    <x v="0"/>
    <n v="2"/>
    <n v="80"/>
    <x v="1"/>
    <n v="18"/>
    <x v="5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s v="No"/>
    <n v="11"/>
    <x v="0"/>
    <n v="2"/>
    <n v="80"/>
    <x v="0"/>
    <n v="15"/>
    <x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s v="No"/>
    <n v="15"/>
    <x v="0"/>
    <n v="2"/>
    <n v="80"/>
    <x v="0"/>
    <n v="31"/>
    <x v="1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s v="No"/>
    <n v="13"/>
    <x v="0"/>
    <n v="3"/>
    <n v="80"/>
    <x v="1"/>
    <n v="18"/>
    <x v="3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s v="Yes"/>
    <n v="14"/>
    <x v="0"/>
    <n v="2"/>
    <n v="80"/>
    <x v="0"/>
    <n v="2"/>
    <x v="1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s v="No"/>
    <n v="13"/>
    <x v="0"/>
    <n v="1"/>
    <n v="80"/>
    <x v="0"/>
    <n v="1"/>
    <x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s v="Yes"/>
    <n v="23"/>
    <x v="1"/>
    <n v="1"/>
    <n v="80"/>
    <x v="2"/>
    <n v="19"/>
    <x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s v="Yes"/>
    <n v="12"/>
    <x v="0"/>
    <n v="3"/>
    <n v="80"/>
    <x v="2"/>
    <n v="18"/>
    <x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s v="No"/>
    <n v="12"/>
    <x v="0"/>
    <n v="1"/>
    <n v="80"/>
    <x v="0"/>
    <n v="10"/>
    <x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s v="No"/>
    <n v="16"/>
    <x v="0"/>
    <n v="1"/>
    <n v="80"/>
    <x v="3"/>
    <n v="6"/>
    <x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s v="No"/>
    <n v="15"/>
    <x v="0"/>
    <n v="3"/>
    <n v="80"/>
    <x v="1"/>
    <n v="7"/>
    <x v="4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s v="No"/>
    <n v="13"/>
    <x v="0"/>
    <n v="3"/>
    <n v="80"/>
    <x v="0"/>
    <n v="10"/>
    <x v="1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s v="No"/>
    <n v="18"/>
    <x v="0"/>
    <n v="1"/>
    <n v="80"/>
    <x v="1"/>
    <n v="20"/>
    <x v="5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s v="No"/>
    <n v="20"/>
    <x v="1"/>
    <n v="4"/>
    <n v="80"/>
    <x v="1"/>
    <n v="14"/>
    <x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s v="No"/>
    <n v="19"/>
    <x v="0"/>
    <n v="4"/>
    <n v="80"/>
    <x v="2"/>
    <n v="3"/>
    <x v="5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s v="No"/>
    <n v="18"/>
    <x v="0"/>
    <n v="2"/>
    <n v="80"/>
    <x v="1"/>
    <n v="23"/>
    <x v="5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s v="No"/>
    <n v="13"/>
    <x v="0"/>
    <n v="4"/>
    <n v="80"/>
    <x v="0"/>
    <n v="10"/>
    <x v="5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s v="No"/>
    <n v="14"/>
    <x v="0"/>
    <n v="4"/>
    <n v="80"/>
    <x v="1"/>
    <n v="24"/>
    <x v="4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s v="No"/>
    <n v="15"/>
    <x v="0"/>
    <n v="3"/>
    <n v="80"/>
    <x v="1"/>
    <n v="9"/>
    <x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s v="Yes"/>
    <n v="22"/>
    <x v="1"/>
    <n v="1"/>
    <n v="80"/>
    <x v="0"/>
    <n v="9"/>
    <x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s v="No"/>
    <n v="22"/>
    <x v="1"/>
    <n v="2"/>
    <n v="80"/>
    <x v="0"/>
    <n v="14"/>
    <x v="5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s v="No"/>
    <n v="16"/>
    <x v="0"/>
    <n v="4"/>
    <n v="80"/>
    <x v="1"/>
    <n v="4"/>
    <x v="3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s v="No"/>
    <n v="17"/>
    <x v="0"/>
    <n v="3"/>
    <n v="80"/>
    <x v="0"/>
    <n v="7"/>
    <x v="4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s v="Yes"/>
    <n v="14"/>
    <x v="0"/>
    <n v="3"/>
    <n v="80"/>
    <x v="2"/>
    <n v="8"/>
    <x v="3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s v="Yes"/>
    <n v="15"/>
    <x v="0"/>
    <n v="2"/>
    <n v="80"/>
    <x v="1"/>
    <n v="7"/>
    <x v="1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s v="No"/>
    <n v="20"/>
    <x v="1"/>
    <n v="3"/>
    <n v="80"/>
    <x v="1"/>
    <n v="1"/>
    <x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s v="Yes"/>
    <n v="20"/>
    <x v="1"/>
    <n v="2"/>
    <n v="80"/>
    <x v="0"/>
    <n v="5"/>
    <x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s v="No"/>
    <n v="17"/>
    <x v="0"/>
    <n v="4"/>
    <n v="80"/>
    <x v="1"/>
    <n v="23"/>
    <x v="1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s v="No"/>
    <n v="15"/>
    <x v="0"/>
    <n v="1"/>
    <n v="80"/>
    <x v="3"/>
    <n v="1"/>
    <x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s v="Yes"/>
    <n v="14"/>
    <x v="0"/>
    <n v="4"/>
    <n v="80"/>
    <x v="0"/>
    <n v="5"/>
    <x v="5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s v="No"/>
    <n v="17"/>
    <x v="0"/>
    <n v="3"/>
    <n v="80"/>
    <x v="1"/>
    <n v="4"/>
    <x v="1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s v="No"/>
    <n v="17"/>
    <x v="0"/>
    <n v="4"/>
    <n v="80"/>
    <x v="2"/>
    <n v="6"/>
    <x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s v="No"/>
    <n v="22"/>
    <x v="1"/>
    <n v="3"/>
    <n v="80"/>
    <x v="0"/>
    <n v="27"/>
    <x v="1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s v="No"/>
    <n v="13"/>
    <x v="0"/>
    <n v="4"/>
    <n v="80"/>
    <x v="1"/>
    <n v="15"/>
    <x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s v="No"/>
    <n v="19"/>
    <x v="0"/>
    <n v="4"/>
    <n v="80"/>
    <x v="0"/>
    <n v="18"/>
    <x v="5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s v="Yes"/>
    <n v="14"/>
    <x v="0"/>
    <n v="2"/>
    <n v="80"/>
    <x v="3"/>
    <n v="9"/>
    <x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s v="No"/>
    <n v="22"/>
    <x v="1"/>
    <n v="1"/>
    <n v="80"/>
    <x v="1"/>
    <n v="11"/>
    <x v="4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s v="No"/>
    <n v="17"/>
    <x v="0"/>
    <n v="2"/>
    <n v="80"/>
    <x v="2"/>
    <n v="10"/>
    <x v="1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s v="No"/>
    <n v="12"/>
    <x v="0"/>
    <n v="4"/>
    <n v="80"/>
    <x v="1"/>
    <n v="23"/>
    <x v="1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s v="No"/>
    <n v="16"/>
    <x v="0"/>
    <n v="3"/>
    <n v="80"/>
    <x v="0"/>
    <n v="10"/>
    <x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s v="No"/>
    <n v="11"/>
    <x v="0"/>
    <n v="3"/>
    <n v="80"/>
    <x v="1"/>
    <n v="18"/>
    <x v="4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s v="No"/>
    <n v="11"/>
    <x v="0"/>
    <n v="4"/>
    <n v="80"/>
    <x v="2"/>
    <n v="21"/>
    <x v="5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s v="No"/>
    <n v="14"/>
    <x v="0"/>
    <n v="1"/>
    <n v="80"/>
    <x v="0"/>
    <n v="21"/>
    <x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s v="Yes"/>
    <n v="11"/>
    <x v="0"/>
    <n v="3"/>
    <n v="80"/>
    <x v="0"/>
    <n v="2"/>
    <x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s v="No"/>
    <n v="15"/>
    <x v="0"/>
    <n v="3"/>
    <n v="80"/>
    <x v="0"/>
    <n v="9"/>
    <x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s v="No"/>
    <n v="20"/>
    <x v="1"/>
    <n v="1"/>
    <n v="80"/>
    <x v="0"/>
    <n v="18"/>
    <x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s v="No"/>
    <n v="12"/>
    <x v="0"/>
    <n v="1"/>
    <n v="80"/>
    <x v="1"/>
    <n v="3"/>
    <x v="5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s v="No"/>
    <n v="17"/>
    <x v="0"/>
    <n v="1"/>
    <n v="80"/>
    <x v="0"/>
    <n v="6"/>
    <x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s v="No"/>
    <n v="11"/>
    <x v="0"/>
    <n v="4"/>
    <n v="80"/>
    <x v="1"/>
    <n v="5"/>
    <x v="1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s v="No"/>
    <n v="17"/>
    <x v="0"/>
    <n v="2"/>
    <n v="80"/>
    <x v="1"/>
    <n v="22"/>
    <x v="1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s v="No"/>
    <n v="11"/>
    <x v="0"/>
    <n v="4"/>
    <n v="80"/>
    <x v="0"/>
    <n v="5"/>
    <x v="1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s v="No"/>
    <n v="14"/>
    <x v="0"/>
    <n v="4"/>
    <n v="80"/>
    <x v="3"/>
    <n v="8"/>
    <x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s v="No"/>
    <n v="19"/>
    <x v="0"/>
    <n v="1"/>
    <n v="80"/>
    <x v="0"/>
    <n v="16"/>
    <x v="1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s v="Yes"/>
    <n v="15"/>
    <x v="0"/>
    <n v="3"/>
    <n v="80"/>
    <x v="1"/>
    <n v="10"/>
    <x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s v="No"/>
    <n v="13"/>
    <x v="0"/>
    <n v="4"/>
    <n v="80"/>
    <x v="1"/>
    <n v="7"/>
    <x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s v="Yes"/>
    <n v="14"/>
    <x v="0"/>
    <n v="4"/>
    <n v="80"/>
    <x v="1"/>
    <n v="3"/>
    <x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s v="No"/>
    <n v="12"/>
    <x v="0"/>
    <n v="4"/>
    <n v="80"/>
    <x v="0"/>
    <n v="0"/>
    <x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s v="Yes"/>
    <n v="17"/>
    <x v="0"/>
    <n v="1"/>
    <n v="80"/>
    <x v="0"/>
    <n v="6"/>
    <x v="1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s v="Yes"/>
    <n v="11"/>
    <x v="0"/>
    <n v="1"/>
    <n v="80"/>
    <x v="1"/>
    <n v="6"/>
    <x v="5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s v="No"/>
    <n v="12"/>
    <x v="0"/>
    <n v="3"/>
    <n v="80"/>
    <x v="1"/>
    <n v="2"/>
    <x v="3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s v="No"/>
    <n v="13"/>
    <x v="0"/>
    <n v="3"/>
    <n v="80"/>
    <x v="3"/>
    <n v="9"/>
    <x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s v="No"/>
    <n v="13"/>
    <x v="0"/>
    <n v="3"/>
    <n v="80"/>
    <x v="1"/>
    <n v="4"/>
    <x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s v="No"/>
    <n v="20"/>
    <x v="1"/>
    <n v="1"/>
    <n v="80"/>
    <x v="0"/>
    <n v="6"/>
    <x v="1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s v="No"/>
    <n v="17"/>
    <x v="0"/>
    <n v="2"/>
    <n v="80"/>
    <x v="0"/>
    <n v="6"/>
    <x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s v="No"/>
    <n v="13"/>
    <x v="0"/>
    <n v="1"/>
    <n v="80"/>
    <x v="1"/>
    <n v="11"/>
    <x v="1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s v="No"/>
    <n v="17"/>
    <x v="0"/>
    <n v="3"/>
    <n v="80"/>
    <x v="0"/>
    <n v="20"/>
    <x v="1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s v="Yes"/>
    <n v="12"/>
    <x v="0"/>
    <n v="2"/>
    <n v="80"/>
    <x v="0"/>
    <n v="22"/>
    <x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s v="No"/>
    <n v="13"/>
    <x v="0"/>
    <n v="4"/>
    <n v="80"/>
    <x v="0"/>
    <n v="9"/>
    <x v="1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s v="No"/>
    <n v="12"/>
    <x v="0"/>
    <n v="2"/>
    <n v="80"/>
    <x v="1"/>
    <n v="10"/>
    <x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s v="No"/>
    <n v="22"/>
    <x v="1"/>
    <n v="4"/>
    <n v="80"/>
    <x v="0"/>
    <n v="6"/>
    <x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s v="Yes"/>
    <n v="11"/>
    <x v="0"/>
    <n v="4"/>
    <n v="80"/>
    <x v="0"/>
    <n v="1"/>
    <x v="5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s v="No"/>
    <n v="22"/>
    <x v="1"/>
    <n v="2"/>
    <n v="80"/>
    <x v="1"/>
    <n v="8"/>
    <x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s v="No"/>
    <n v="18"/>
    <x v="0"/>
    <n v="1"/>
    <n v="80"/>
    <x v="1"/>
    <n v="10"/>
    <x v="1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s v="Yes"/>
    <n v="13"/>
    <x v="0"/>
    <n v="4"/>
    <n v="80"/>
    <x v="1"/>
    <n v="16"/>
    <x v="1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s v="No"/>
    <n v="18"/>
    <x v="0"/>
    <n v="2"/>
    <n v="80"/>
    <x v="1"/>
    <n v="15"/>
    <x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s v="No"/>
    <n v="20"/>
    <x v="1"/>
    <n v="3"/>
    <n v="80"/>
    <x v="0"/>
    <n v="14"/>
    <x v="1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s v="No"/>
    <n v="13"/>
    <x v="0"/>
    <n v="2"/>
    <n v="80"/>
    <x v="1"/>
    <n v="2"/>
    <x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s v="No"/>
    <n v="13"/>
    <x v="0"/>
    <n v="2"/>
    <n v="80"/>
    <x v="0"/>
    <n v="7"/>
    <x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s v="No"/>
    <n v="12"/>
    <x v="0"/>
    <n v="3"/>
    <n v="80"/>
    <x v="2"/>
    <n v="1"/>
    <x v="1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s v="No"/>
    <n v="13"/>
    <x v="0"/>
    <n v="4"/>
    <n v="80"/>
    <x v="1"/>
    <n v="28"/>
    <x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s v="No"/>
    <n v="13"/>
    <x v="0"/>
    <n v="1"/>
    <n v="80"/>
    <x v="1"/>
    <n v="10"/>
    <x v="3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s v="No"/>
    <n v="25"/>
    <x v="1"/>
    <n v="3"/>
    <n v="80"/>
    <x v="0"/>
    <n v="1"/>
    <x v="5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s v="Yes"/>
    <n v="19"/>
    <x v="0"/>
    <n v="3"/>
    <n v="80"/>
    <x v="1"/>
    <n v="7"/>
    <x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s v="No"/>
    <n v="13"/>
    <x v="0"/>
    <n v="2"/>
    <n v="80"/>
    <x v="1"/>
    <n v="14"/>
    <x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s v="No"/>
    <n v="12"/>
    <x v="0"/>
    <n v="1"/>
    <n v="80"/>
    <x v="0"/>
    <n v="2"/>
    <x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s v="Yes"/>
    <n v="11"/>
    <x v="0"/>
    <n v="3"/>
    <n v="80"/>
    <x v="0"/>
    <n v="6"/>
    <x v="5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s v="No"/>
    <n v="18"/>
    <x v="0"/>
    <n v="2"/>
    <n v="80"/>
    <x v="1"/>
    <n v="26"/>
    <x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s v="Yes"/>
    <n v="18"/>
    <x v="0"/>
    <n v="1"/>
    <n v="80"/>
    <x v="1"/>
    <n v="6"/>
    <x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s v="Yes"/>
    <n v="11"/>
    <x v="0"/>
    <n v="2"/>
    <n v="80"/>
    <x v="1"/>
    <n v="1"/>
    <x v="3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s v="No"/>
    <n v="23"/>
    <x v="1"/>
    <n v="1"/>
    <n v="80"/>
    <x v="0"/>
    <n v="28"/>
    <x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s v="No"/>
    <n v="13"/>
    <x v="0"/>
    <n v="4"/>
    <n v="80"/>
    <x v="0"/>
    <n v="6"/>
    <x v="1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s v="No"/>
    <n v="13"/>
    <x v="0"/>
    <n v="4"/>
    <n v="80"/>
    <x v="1"/>
    <n v="5"/>
    <x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s v="No"/>
    <n v="17"/>
    <x v="0"/>
    <n v="1"/>
    <n v="80"/>
    <x v="1"/>
    <n v="5"/>
    <x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s v="No"/>
    <n v="19"/>
    <x v="0"/>
    <n v="3"/>
    <n v="80"/>
    <x v="2"/>
    <n v="8"/>
    <x v="1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s v="No"/>
    <n v="12"/>
    <x v="0"/>
    <n v="4"/>
    <n v="80"/>
    <x v="2"/>
    <n v="5"/>
    <x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s v="No"/>
    <n v="22"/>
    <x v="1"/>
    <n v="3"/>
    <n v="80"/>
    <x v="1"/>
    <n v="32"/>
    <x v="1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s v="No"/>
    <n v="12"/>
    <x v="0"/>
    <n v="3"/>
    <n v="80"/>
    <x v="2"/>
    <n v="6"/>
    <x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s v="No"/>
    <n v="11"/>
    <x v="0"/>
    <n v="1"/>
    <n v="80"/>
    <x v="1"/>
    <n v="25"/>
    <x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s v="Yes"/>
    <n v="15"/>
    <x v="0"/>
    <n v="4"/>
    <n v="80"/>
    <x v="2"/>
    <n v="15"/>
    <x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s v="No"/>
    <n v="13"/>
    <x v="0"/>
    <n v="1"/>
    <n v="80"/>
    <x v="1"/>
    <n v="1"/>
    <x v="1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s v="No"/>
    <n v="12"/>
    <x v="0"/>
    <n v="1"/>
    <n v="80"/>
    <x v="1"/>
    <n v="10"/>
    <x v="1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s v="No"/>
    <n v="14"/>
    <x v="0"/>
    <n v="3"/>
    <n v="80"/>
    <x v="1"/>
    <n v="7"/>
    <x v="5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s v="No"/>
    <n v="13"/>
    <x v="0"/>
    <n v="1"/>
    <n v="80"/>
    <x v="2"/>
    <n v="10"/>
    <x v="5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s v="No"/>
    <n v="25"/>
    <x v="1"/>
    <n v="2"/>
    <n v="80"/>
    <x v="0"/>
    <n v="20"/>
    <x v="1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s v="No"/>
    <n v="17"/>
    <x v="0"/>
    <n v="4"/>
    <n v="80"/>
    <x v="0"/>
    <n v="2"/>
    <x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s v="No"/>
    <n v="11"/>
    <x v="0"/>
    <n v="3"/>
    <n v="80"/>
    <x v="1"/>
    <n v="12"/>
    <x v="1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s v="No"/>
    <n v="16"/>
    <x v="0"/>
    <n v="1"/>
    <n v="80"/>
    <x v="1"/>
    <n v="10"/>
    <x v="1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s v="Yes"/>
    <n v="18"/>
    <x v="0"/>
    <n v="2"/>
    <n v="80"/>
    <x v="1"/>
    <n v="12"/>
    <x v="1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s v="No"/>
    <n v="20"/>
    <x v="1"/>
    <n v="3"/>
    <n v="80"/>
    <x v="1"/>
    <n v="2"/>
    <x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s v="Yes"/>
    <n v="14"/>
    <x v="0"/>
    <n v="4"/>
    <n v="80"/>
    <x v="0"/>
    <n v="10"/>
    <x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s v="Yes"/>
    <n v="21"/>
    <x v="1"/>
    <n v="3"/>
    <n v="80"/>
    <x v="1"/>
    <n v="17"/>
    <x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s v="No"/>
    <n v="13"/>
    <x v="0"/>
    <n v="2"/>
    <n v="80"/>
    <x v="1"/>
    <n v="15"/>
    <x v="3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s v="No"/>
    <n v="12"/>
    <x v="0"/>
    <n v="2"/>
    <n v="80"/>
    <x v="1"/>
    <n v="7"/>
    <x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s v="No"/>
    <n v="14"/>
    <x v="0"/>
    <n v="2"/>
    <n v="80"/>
    <x v="0"/>
    <n v="5"/>
    <x v="5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s v="Yes"/>
    <n v="21"/>
    <x v="1"/>
    <n v="1"/>
    <n v="80"/>
    <x v="1"/>
    <n v="12"/>
    <x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s v="Yes"/>
    <n v="17"/>
    <x v="0"/>
    <n v="3"/>
    <n v="80"/>
    <x v="0"/>
    <n v="20"/>
    <x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s v="Yes"/>
    <n v="11"/>
    <x v="0"/>
    <n v="2"/>
    <n v="80"/>
    <x v="1"/>
    <n v="16"/>
    <x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s v="Yes"/>
    <n v="14"/>
    <x v="0"/>
    <n v="4"/>
    <n v="80"/>
    <x v="3"/>
    <n v="9"/>
    <x v="1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s v="No"/>
    <n v="17"/>
    <x v="0"/>
    <n v="1"/>
    <n v="80"/>
    <x v="1"/>
    <n v="33"/>
    <x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s v="No"/>
    <n v="13"/>
    <x v="0"/>
    <n v="4"/>
    <n v="80"/>
    <x v="1"/>
    <n v="10"/>
    <x v="3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s v="Yes"/>
    <n v="25"/>
    <x v="1"/>
    <n v="2"/>
    <n v="80"/>
    <x v="0"/>
    <n v="1"/>
    <x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s v="No"/>
    <n v="15"/>
    <x v="0"/>
    <n v="1"/>
    <n v="80"/>
    <x v="2"/>
    <n v="3"/>
    <x v="3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s v="No"/>
    <n v="14"/>
    <x v="0"/>
    <n v="1"/>
    <n v="80"/>
    <x v="0"/>
    <n v="36"/>
    <x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s v="Yes"/>
    <n v="12"/>
    <x v="0"/>
    <n v="4"/>
    <n v="80"/>
    <x v="0"/>
    <n v="6"/>
    <x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s v="No"/>
    <n v="19"/>
    <x v="0"/>
    <n v="2"/>
    <n v="80"/>
    <x v="0"/>
    <n v="10"/>
    <x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s v="No"/>
    <n v="17"/>
    <x v="0"/>
    <n v="4"/>
    <n v="80"/>
    <x v="0"/>
    <n v="13"/>
    <x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s v="No"/>
    <n v="14"/>
    <x v="0"/>
    <n v="2"/>
    <n v="80"/>
    <x v="1"/>
    <n v="25"/>
    <x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s v="No"/>
    <n v="13"/>
    <x v="0"/>
    <n v="3"/>
    <n v="80"/>
    <x v="1"/>
    <n v="23"/>
    <x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s v="No"/>
    <n v="12"/>
    <x v="0"/>
    <n v="3"/>
    <n v="80"/>
    <x v="0"/>
    <n v="12"/>
    <x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s v="No"/>
    <n v="11"/>
    <x v="0"/>
    <n v="3"/>
    <n v="80"/>
    <x v="0"/>
    <n v="7"/>
    <x v="5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s v="No"/>
    <n v="11"/>
    <x v="0"/>
    <n v="2"/>
    <n v="80"/>
    <x v="2"/>
    <n v="5"/>
    <x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s v="Yes"/>
    <n v="11"/>
    <x v="0"/>
    <n v="2"/>
    <n v="80"/>
    <x v="3"/>
    <n v="6"/>
    <x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s v="No"/>
    <n v="12"/>
    <x v="0"/>
    <n v="3"/>
    <n v="80"/>
    <x v="0"/>
    <n v="25"/>
    <x v="1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s v="No"/>
    <n v="14"/>
    <x v="0"/>
    <n v="2"/>
    <n v="80"/>
    <x v="3"/>
    <n v="9"/>
    <x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s v="No"/>
    <n v="17"/>
    <x v="0"/>
    <n v="4"/>
    <n v="80"/>
    <x v="0"/>
    <n v="2"/>
    <x v="3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s v="No"/>
    <n v="11"/>
    <x v="0"/>
    <n v="3"/>
    <n v="80"/>
    <x v="1"/>
    <n v="26"/>
    <x v="3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s v="Yes"/>
    <n v="14"/>
    <x v="0"/>
    <n v="4"/>
    <n v="80"/>
    <x v="3"/>
    <n v="10"/>
    <x v="1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s v="Yes"/>
    <n v="12"/>
    <x v="0"/>
    <n v="4"/>
    <n v="80"/>
    <x v="0"/>
    <n v="1"/>
    <x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s v="No"/>
    <n v="22"/>
    <x v="1"/>
    <n v="4"/>
    <n v="80"/>
    <x v="1"/>
    <n v="1"/>
    <x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s v="Yes"/>
    <n v="14"/>
    <x v="0"/>
    <n v="4"/>
    <n v="80"/>
    <x v="0"/>
    <n v="1"/>
    <x v="5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s v="Yes"/>
    <n v="20"/>
    <x v="1"/>
    <n v="2"/>
    <n v="80"/>
    <x v="0"/>
    <n v="8"/>
    <x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s v="Yes"/>
    <n v="16"/>
    <x v="0"/>
    <n v="1"/>
    <n v="80"/>
    <x v="0"/>
    <n v="26"/>
    <x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s v="Yes"/>
    <n v="15"/>
    <x v="0"/>
    <n v="4"/>
    <n v="80"/>
    <x v="1"/>
    <n v="34"/>
    <x v="1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s v="No"/>
    <n v="20"/>
    <x v="1"/>
    <n v="3"/>
    <n v="80"/>
    <x v="0"/>
    <n v="2"/>
    <x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s v="No"/>
    <n v="14"/>
    <x v="0"/>
    <n v="3"/>
    <n v="80"/>
    <x v="1"/>
    <n v="26"/>
    <x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s v="Yes"/>
    <n v="12"/>
    <x v="0"/>
    <n v="4"/>
    <n v="80"/>
    <x v="0"/>
    <n v="4"/>
    <x v="1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s v="Yes"/>
    <n v="24"/>
    <x v="1"/>
    <n v="1"/>
    <n v="80"/>
    <x v="1"/>
    <n v="31"/>
    <x v="3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s v="No"/>
    <n v="12"/>
    <x v="0"/>
    <n v="4"/>
    <n v="80"/>
    <x v="0"/>
    <n v="25"/>
    <x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s v="No"/>
    <n v="13"/>
    <x v="0"/>
    <n v="3"/>
    <n v="80"/>
    <x v="3"/>
    <n v="15"/>
    <x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s v="Yes"/>
    <n v="11"/>
    <x v="0"/>
    <n v="3"/>
    <n v="80"/>
    <x v="0"/>
    <n v="5"/>
    <x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s v="No"/>
    <n v="14"/>
    <x v="0"/>
    <n v="4"/>
    <n v="80"/>
    <x v="3"/>
    <n v="26"/>
    <x v="5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s v="No"/>
    <n v="11"/>
    <x v="0"/>
    <n v="4"/>
    <n v="80"/>
    <x v="3"/>
    <n v="14"/>
    <x v="3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s v="Yes"/>
    <n v="14"/>
    <x v="0"/>
    <n v="4"/>
    <n v="80"/>
    <x v="0"/>
    <n v="4"/>
    <x v="1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s v="Yes"/>
    <n v="16"/>
    <x v="0"/>
    <n v="4"/>
    <n v="80"/>
    <x v="0"/>
    <n v="18"/>
    <x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s v="No"/>
    <n v="14"/>
    <x v="0"/>
    <n v="4"/>
    <n v="80"/>
    <x v="0"/>
    <n v="23"/>
    <x v="1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s v="Yes"/>
    <n v="11"/>
    <x v="0"/>
    <n v="4"/>
    <n v="80"/>
    <x v="0"/>
    <n v="18"/>
    <x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s v="No"/>
    <n v="11"/>
    <x v="0"/>
    <n v="4"/>
    <n v="80"/>
    <x v="1"/>
    <n v="10"/>
    <x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s v="Yes"/>
    <n v="12"/>
    <x v="0"/>
    <n v="2"/>
    <n v="80"/>
    <x v="1"/>
    <n v="2"/>
    <x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s v="No"/>
    <n v="14"/>
    <x v="0"/>
    <n v="2"/>
    <n v="80"/>
    <x v="0"/>
    <n v="8"/>
    <x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s v="Yes"/>
    <n v="18"/>
    <x v="0"/>
    <n v="3"/>
    <n v="80"/>
    <x v="0"/>
    <n v="10"/>
    <x v="1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s v="Yes"/>
    <n v="13"/>
    <x v="0"/>
    <n v="1"/>
    <n v="80"/>
    <x v="3"/>
    <n v="10"/>
    <x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s v="No"/>
    <n v="11"/>
    <x v="0"/>
    <n v="2"/>
    <n v="80"/>
    <x v="0"/>
    <n v="5"/>
    <x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s v="No"/>
    <n v="18"/>
    <x v="0"/>
    <n v="4"/>
    <n v="80"/>
    <x v="0"/>
    <n v="2"/>
    <x v="1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s v="No"/>
    <n v="15"/>
    <x v="0"/>
    <n v="3"/>
    <n v="80"/>
    <x v="3"/>
    <n v="10"/>
    <x v="5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s v="No"/>
    <n v="22"/>
    <x v="1"/>
    <n v="3"/>
    <n v="80"/>
    <x v="0"/>
    <n v="22"/>
    <x v="5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s v="Yes"/>
    <n v="13"/>
    <x v="0"/>
    <n v="4"/>
    <n v="80"/>
    <x v="3"/>
    <n v="21"/>
    <x v="5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s v="No"/>
    <n v="12"/>
    <x v="0"/>
    <n v="4"/>
    <n v="80"/>
    <x v="3"/>
    <n v="2"/>
    <x v="1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s v="No"/>
    <n v="18"/>
    <x v="0"/>
    <n v="1"/>
    <n v="80"/>
    <x v="1"/>
    <n v="10"/>
    <x v="1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s v="No"/>
    <n v="13"/>
    <x v="0"/>
    <n v="1"/>
    <n v="80"/>
    <x v="0"/>
    <n v="6"/>
    <x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s v="No"/>
    <n v="12"/>
    <x v="0"/>
    <n v="1"/>
    <n v="80"/>
    <x v="1"/>
    <n v="10"/>
    <x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s v="No"/>
    <n v="12"/>
    <x v="0"/>
    <n v="1"/>
    <n v="80"/>
    <x v="0"/>
    <n v="10"/>
    <x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s v="No"/>
    <n v="12"/>
    <x v="0"/>
    <n v="3"/>
    <n v="80"/>
    <x v="0"/>
    <n v="10"/>
    <x v="1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s v="No"/>
    <n v="11"/>
    <x v="0"/>
    <n v="1"/>
    <n v="80"/>
    <x v="2"/>
    <n v="10"/>
    <x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s v="Yes"/>
    <n v="11"/>
    <x v="0"/>
    <n v="2"/>
    <n v="80"/>
    <x v="0"/>
    <n v="25"/>
    <x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s v="Yes"/>
    <n v="12"/>
    <x v="0"/>
    <n v="3"/>
    <n v="80"/>
    <x v="0"/>
    <n v="9"/>
    <x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s v="Yes"/>
    <n v="19"/>
    <x v="0"/>
    <n v="3"/>
    <n v="80"/>
    <x v="0"/>
    <n v="10"/>
    <x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s v="Yes"/>
    <n v="23"/>
    <x v="1"/>
    <n v="4"/>
    <n v="80"/>
    <x v="3"/>
    <n v="9"/>
    <x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s v="No"/>
    <n v="11"/>
    <x v="0"/>
    <n v="1"/>
    <n v="80"/>
    <x v="0"/>
    <n v="9"/>
    <x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s v="Yes"/>
    <n v="19"/>
    <x v="0"/>
    <n v="1"/>
    <n v="80"/>
    <x v="1"/>
    <n v="10"/>
    <x v="3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s v="No"/>
    <n v="13"/>
    <x v="0"/>
    <n v="1"/>
    <n v="80"/>
    <x v="0"/>
    <n v="19"/>
    <x v="5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s v="Yes"/>
    <n v="11"/>
    <x v="0"/>
    <n v="1"/>
    <n v="80"/>
    <x v="0"/>
    <n v="3"/>
    <x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s v="No"/>
    <n v="12"/>
    <x v="0"/>
    <n v="3"/>
    <n v="80"/>
    <x v="0"/>
    <n v="10"/>
    <x v="5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s v="Yes"/>
    <n v="13"/>
    <x v="0"/>
    <n v="4"/>
    <n v="80"/>
    <x v="0"/>
    <n v="21"/>
    <x v="1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s v="No"/>
    <n v="14"/>
    <x v="0"/>
    <n v="4"/>
    <n v="80"/>
    <x v="1"/>
    <n v="23"/>
    <x v="3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s v="No"/>
    <n v="14"/>
    <x v="0"/>
    <n v="1"/>
    <n v="80"/>
    <x v="0"/>
    <n v="36"/>
    <x v="5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s v="No"/>
    <n v="16"/>
    <x v="0"/>
    <n v="2"/>
    <n v="80"/>
    <x v="1"/>
    <n v="6"/>
    <x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s v="No"/>
    <n v="11"/>
    <x v="0"/>
    <n v="4"/>
    <n v="80"/>
    <x v="1"/>
    <n v="10"/>
    <x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s v="No"/>
    <n v="13"/>
    <x v="0"/>
    <n v="3"/>
    <n v="80"/>
    <x v="0"/>
    <n v="9"/>
    <x v="5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s v="No"/>
    <n v="17"/>
    <x v="0"/>
    <n v="4"/>
    <n v="80"/>
    <x v="1"/>
    <n v="10"/>
    <x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s v="Yes"/>
    <n v="11"/>
    <x v="0"/>
    <n v="2"/>
    <n v="80"/>
    <x v="0"/>
    <n v="9"/>
    <x v="1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s v="Yes"/>
    <n v="11"/>
    <x v="0"/>
    <n v="2"/>
    <n v="80"/>
    <x v="1"/>
    <n v="33"/>
    <x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s v="No"/>
    <n v="15"/>
    <x v="0"/>
    <n v="4"/>
    <n v="80"/>
    <x v="1"/>
    <n v="11"/>
    <x v="1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s v="No"/>
    <n v="12"/>
    <x v="0"/>
    <n v="4"/>
    <n v="80"/>
    <x v="0"/>
    <n v="10"/>
    <x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s v="No"/>
    <n v="11"/>
    <x v="0"/>
    <n v="3"/>
    <n v="80"/>
    <x v="2"/>
    <n v="7"/>
    <x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s v="Yes"/>
    <n v="14"/>
    <x v="0"/>
    <n v="4"/>
    <n v="80"/>
    <x v="0"/>
    <n v="31"/>
    <x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s v="No"/>
    <n v="22"/>
    <x v="1"/>
    <n v="3"/>
    <n v="80"/>
    <x v="1"/>
    <n v="7"/>
    <x v="1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s v="No"/>
    <n v="16"/>
    <x v="0"/>
    <n v="4"/>
    <n v="80"/>
    <x v="1"/>
    <n v="17"/>
    <x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s v="No"/>
    <n v="11"/>
    <x v="0"/>
    <n v="3"/>
    <n v="80"/>
    <x v="0"/>
    <n v="11"/>
    <x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s v="No"/>
    <n v="14"/>
    <x v="0"/>
    <n v="2"/>
    <n v="80"/>
    <x v="1"/>
    <n v="5"/>
    <x v="5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s v="No"/>
    <n v="16"/>
    <x v="0"/>
    <n v="2"/>
    <n v="80"/>
    <x v="0"/>
    <n v="29"/>
    <x v="4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s v="No"/>
    <n v="15"/>
    <x v="0"/>
    <n v="3"/>
    <n v="80"/>
    <x v="0"/>
    <n v="0"/>
    <x v="3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s v="No"/>
    <n v="12"/>
    <x v="0"/>
    <n v="2"/>
    <n v="80"/>
    <x v="1"/>
    <n v="10"/>
    <x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s v="No"/>
    <n v="20"/>
    <x v="1"/>
    <n v="2"/>
    <n v="80"/>
    <x v="0"/>
    <n v="8"/>
    <x v="1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s v="Yes"/>
    <n v="17"/>
    <x v="0"/>
    <n v="3"/>
    <n v="80"/>
    <x v="0"/>
    <n v="24"/>
    <x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s v="Yes"/>
    <n v="12"/>
    <x v="0"/>
    <n v="1"/>
    <n v="80"/>
    <x v="1"/>
    <n v="33"/>
    <x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s v="No"/>
    <n v="20"/>
    <x v="1"/>
    <n v="3"/>
    <n v="80"/>
    <x v="2"/>
    <n v="5"/>
    <x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s v="No"/>
    <n v="20"/>
    <x v="1"/>
    <n v="2"/>
    <n v="80"/>
    <x v="2"/>
    <n v="15"/>
    <x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s v="No"/>
    <n v="13"/>
    <x v="0"/>
    <n v="1"/>
    <n v="80"/>
    <x v="3"/>
    <n v="10"/>
    <x v="4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s v="No"/>
    <n v="14"/>
    <x v="0"/>
    <n v="3"/>
    <n v="80"/>
    <x v="0"/>
    <n v="3"/>
    <x v="1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s v="Yes"/>
    <n v="18"/>
    <x v="0"/>
    <n v="3"/>
    <n v="80"/>
    <x v="1"/>
    <n v="5"/>
    <x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s v="No"/>
    <n v="11"/>
    <x v="0"/>
    <n v="4"/>
    <n v="80"/>
    <x v="2"/>
    <n v="4"/>
    <x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s v="No"/>
    <n v="11"/>
    <x v="0"/>
    <n v="4"/>
    <n v="80"/>
    <x v="0"/>
    <n v="14"/>
    <x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s v="No"/>
    <n v="11"/>
    <x v="0"/>
    <n v="3"/>
    <n v="80"/>
    <x v="1"/>
    <n v="5"/>
    <x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s v="Yes"/>
    <n v="15"/>
    <x v="0"/>
    <n v="4"/>
    <n v="80"/>
    <x v="3"/>
    <n v="10"/>
    <x v="1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s v="Yes"/>
    <n v="12"/>
    <x v="0"/>
    <n v="4"/>
    <n v="80"/>
    <x v="3"/>
    <n v="8"/>
    <x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s v="No"/>
    <n v="11"/>
    <x v="0"/>
    <n v="2"/>
    <n v="80"/>
    <x v="0"/>
    <n v="14"/>
    <x v="3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s v="Yes"/>
    <n v="14"/>
    <x v="0"/>
    <n v="1"/>
    <n v="80"/>
    <x v="3"/>
    <n v="12"/>
    <x v="5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s v="Yes"/>
    <n v="15"/>
    <x v="0"/>
    <n v="4"/>
    <n v="80"/>
    <x v="0"/>
    <n v="8"/>
    <x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s v="No"/>
    <n v="13"/>
    <x v="0"/>
    <n v="1"/>
    <n v="80"/>
    <x v="0"/>
    <n v="8"/>
    <x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s v="Yes"/>
    <n v="13"/>
    <x v="0"/>
    <n v="1"/>
    <n v="80"/>
    <x v="2"/>
    <n v="4"/>
    <x v="1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s v="No"/>
    <n v="21"/>
    <x v="1"/>
    <n v="2"/>
    <n v="80"/>
    <x v="1"/>
    <n v="13"/>
    <x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s v="No"/>
    <n v="11"/>
    <x v="0"/>
    <n v="2"/>
    <n v="80"/>
    <x v="0"/>
    <n v="6"/>
    <x v="1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s v="Yes"/>
    <n v="11"/>
    <x v="0"/>
    <n v="2"/>
    <n v="80"/>
    <x v="1"/>
    <n v="24"/>
    <x v="1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s v="Yes"/>
    <n v="14"/>
    <x v="0"/>
    <n v="1"/>
    <n v="80"/>
    <x v="0"/>
    <n v="20"/>
    <x v="1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s v="Yes"/>
    <n v="11"/>
    <x v="0"/>
    <n v="4"/>
    <n v="80"/>
    <x v="0"/>
    <n v="6"/>
    <x v="1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s v="Yes"/>
    <n v="13"/>
    <x v="0"/>
    <n v="4"/>
    <n v="80"/>
    <x v="0"/>
    <n v="8"/>
    <x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s v="No"/>
    <n v="12"/>
    <x v="0"/>
    <n v="4"/>
    <n v="80"/>
    <x v="0"/>
    <n v="5"/>
    <x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s v="No"/>
    <n v="14"/>
    <x v="0"/>
    <n v="3"/>
    <n v="80"/>
    <x v="1"/>
    <n v="21"/>
    <x v="3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s v="No"/>
    <n v="13"/>
    <x v="0"/>
    <n v="3"/>
    <n v="80"/>
    <x v="0"/>
    <n v="12"/>
    <x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s v="No"/>
    <n v="18"/>
    <x v="0"/>
    <n v="1"/>
    <n v="80"/>
    <x v="0"/>
    <n v="8"/>
    <x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s v="No"/>
    <n v="11"/>
    <x v="0"/>
    <n v="3"/>
    <n v="80"/>
    <x v="0"/>
    <n v="10"/>
    <x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s v="No"/>
    <n v="11"/>
    <x v="0"/>
    <n v="2"/>
    <n v="80"/>
    <x v="1"/>
    <n v="7"/>
    <x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s v="No"/>
    <n v="12"/>
    <x v="0"/>
    <n v="4"/>
    <n v="80"/>
    <x v="0"/>
    <n v="8"/>
    <x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s v="No"/>
    <n v="13"/>
    <x v="0"/>
    <n v="1"/>
    <n v="80"/>
    <x v="0"/>
    <n v="10"/>
    <x v="1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s v="No"/>
    <n v="20"/>
    <x v="1"/>
    <n v="1"/>
    <n v="80"/>
    <x v="0"/>
    <n v="20"/>
    <x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s v="Yes"/>
    <n v="12"/>
    <x v="0"/>
    <n v="1"/>
    <n v="80"/>
    <x v="0"/>
    <n v="9"/>
    <x v="4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s v="No"/>
    <n v="19"/>
    <x v="0"/>
    <n v="4"/>
    <n v="80"/>
    <x v="0"/>
    <n v="29"/>
    <x v="1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s v="Yes"/>
    <n v="21"/>
    <x v="1"/>
    <n v="3"/>
    <n v="80"/>
    <x v="1"/>
    <n v="32"/>
    <x v="1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s v="No"/>
    <n v="13"/>
    <x v="0"/>
    <n v="4"/>
    <n v="80"/>
    <x v="3"/>
    <n v="31"/>
    <x v="5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s v="Yes"/>
    <n v="16"/>
    <x v="0"/>
    <n v="4"/>
    <n v="80"/>
    <x v="0"/>
    <n v="15"/>
    <x v="1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s v="No"/>
    <n v="12"/>
    <x v="0"/>
    <n v="2"/>
    <n v="80"/>
    <x v="0"/>
    <n v="1"/>
    <x v="1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s v="No"/>
    <n v="14"/>
    <x v="0"/>
    <n v="2"/>
    <n v="80"/>
    <x v="3"/>
    <n v="8"/>
    <x v="1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s v="No"/>
    <n v="11"/>
    <x v="0"/>
    <n v="3"/>
    <n v="80"/>
    <x v="0"/>
    <n v="9"/>
    <x v="1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s v="No"/>
    <n v="14"/>
    <x v="0"/>
    <n v="3"/>
    <n v="80"/>
    <x v="3"/>
    <n v="10"/>
    <x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s v="No"/>
    <n v="12"/>
    <x v="0"/>
    <n v="3"/>
    <n v="80"/>
    <x v="0"/>
    <n v="1"/>
    <x v="1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s v="No"/>
    <n v="14"/>
    <x v="0"/>
    <n v="2"/>
    <n v="80"/>
    <x v="0"/>
    <n v="6"/>
    <x v="1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s v="No"/>
    <n v="16"/>
    <x v="0"/>
    <n v="3"/>
    <n v="80"/>
    <x v="0"/>
    <n v="10"/>
    <x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s v="No"/>
    <n v="13"/>
    <x v="0"/>
    <n v="1"/>
    <n v="80"/>
    <x v="3"/>
    <n v="11"/>
    <x v="1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s v="No"/>
    <n v="12"/>
    <x v="0"/>
    <n v="3"/>
    <n v="80"/>
    <x v="1"/>
    <n v="17"/>
    <x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s v="No"/>
    <n v="12"/>
    <x v="0"/>
    <n v="1"/>
    <n v="80"/>
    <x v="0"/>
    <n v="6"/>
    <x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s v="No"/>
    <n v="14"/>
    <x v="0"/>
    <n v="1"/>
    <n v="80"/>
    <x v="0"/>
    <n v="7"/>
    <x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s v="No"/>
    <n v="22"/>
    <x v="1"/>
    <n v="4"/>
    <n v="80"/>
    <x v="1"/>
    <n v="5"/>
    <x v="1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s v="No"/>
    <n v="19"/>
    <x v="0"/>
    <n v="2"/>
    <n v="80"/>
    <x v="3"/>
    <n v="26"/>
    <x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s v="Yes"/>
    <n v="12"/>
    <x v="0"/>
    <n v="3"/>
    <n v="80"/>
    <x v="3"/>
    <n v="5"/>
    <x v="1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s v="No"/>
    <n v="12"/>
    <x v="0"/>
    <n v="3"/>
    <n v="80"/>
    <x v="1"/>
    <n v="7"/>
    <x v="1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s v="No"/>
    <n v="17"/>
    <x v="0"/>
    <n v="1"/>
    <n v="80"/>
    <x v="1"/>
    <n v="7"/>
    <x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s v="Yes"/>
    <n v="12"/>
    <x v="0"/>
    <n v="1"/>
    <n v="80"/>
    <x v="0"/>
    <n v="7"/>
    <x v="3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s v="No"/>
    <n v="11"/>
    <x v="0"/>
    <n v="3"/>
    <n v="80"/>
    <x v="3"/>
    <n v="11"/>
    <x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s v="No"/>
    <n v="18"/>
    <x v="0"/>
    <n v="1"/>
    <n v="80"/>
    <x v="1"/>
    <n v="13"/>
    <x v="3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s v="No"/>
    <n v="11"/>
    <x v="0"/>
    <n v="1"/>
    <n v="80"/>
    <x v="1"/>
    <n v="28"/>
    <x v="4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s v="Yes"/>
    <n v="23"/>
    <x v="1"/>
    <n v="2"/>
    <n v="80"/>
    <x v="0"/>
    <n v="11"/>
    <x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s v="No"/>
    <n v="11"/>
    <x v="0"/>
    <n v="1"/>
    <n v="80"/>
    <x v="0"/>
    <n v="10"/>
    <x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s v="Yes"/>
    <n v="18"/>
    <x v="0"/>
    <n v="2"/>
    <n v="80"/>
    <x v="1"/>
    <n v="24"/>
    <x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s v="No"/>
    <n v="18"/>
    <x v="0"/>
    <n v="4"/>
    <n v="80"/>
    <x v="0"/>
    <n v="8"/>
    <x v="1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s v="Yes"/>
    <n v="13"/>
    <x v="0"/>
    <n v="3"/>
    <n v="80"/>
    <x v="1"/>
    <n v="7"/>
    <x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s v="Yes"/>
    <n v="18"/>
    <x v="0"/>
    <n v="4"/>
    <n v="80"/>
    <x v="3"/>
    <n v="10"/>
    <x v="5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s v="No"/>
    <n v="11"/>
    <x v="0"/>
    <n v="1"/>
    <n v="80"/>
    <x v="2"/>
    <n v="15"/>
    <x v="1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s v="No"/>
    <n v="15"/>
    <x v="0"/>
    <n v="4"/>
    <n v="80"/>
    <x v="0"/>
    <n v="2"/>
    <x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s v="No"/>
    <n v="11"/>
    <x v="0"/>
    <n v="3"/>
    <n v="80"/>
    <x v="1"/>
    <n v="16"/>
    <x v="3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s v="No"/>
    <n v="18"/>
    <x v="0"/>
    <n v="4"/>
    <n v="80"/>
    <x v="0"/>
    <n v="6"/>
    <x v="5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s v="No"/>
    <n v="14"/>
    <x v="0"/>
    <n v="4"/>
    <n v="80"/>
    <x v="0"/>
    <n v="7"/>
    <x v="3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s v="No"/>
    <n v="12"/>
    <x v="0"/>
    <n v="2"/>
    <n v="80"/>
    <x v="0"/>
    <n v="35"/>
    <x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s v="No"/>
    <n v="14"/>
    <x v="0"/>
    <n v="2"/>
    <n v="80"/>
    <x v="1"/>
    <n v="20"/>
    <x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s v="No"/>
    <n v="14"/>
    <x v="0"/>
    <n v="3"/>
    <n v="80"/>
    <x v="1"/>
    <n v="8"/>
    <x v="1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s v="No"/>
    <n v="13"/>
    <x v="0"/>
    <n v="3"/>
    <n v="80"/>
    <x v="0"/>
    <n v="6"/>
    <x v="1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s v="No"/>
    <n v="14"/>
    <x v="0"/>
    <n v="1"/>
    <n v="80"/>
    <x v="3"/>
    <n v="5"/>
    <x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s v="No"/>
    <n v="18"/>
    <x v="0"/>
    <n v="4"/>
    <n v="80"/>
    <x v="0"/>
    <n v="15"/>
    <x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s v="No"/>
    <n v="15"/>
    <x v="0"/>
    <n v="3"/>
    <n v="80"/>
    <x v="3"/>
    <n v="4"/>
    <x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s v="No"/>
    <n v="13"/>
    <x v="0"/>
    <n v="3"/>
    <n v="80"/>
    <x v="0"/>
    <n v="12"/>
    <x v="1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s v="No"/>
    <n v="12"/>
    <x v="0"/>
    <n v="3"/>
    <n v="80"/>
    <x v="1"/>
    <n v="11"/>
    <x v="5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s v="No"/>
    <n v="13"/>
    <x v="0"/>
    <n v="2"/>
    <n v="80"/>
    <x v="3"/>
    <n v="1"/>
    <x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s v="No"/>
    <n v="24"/>
    <x v="1"/>
    <n v="1"/>
    <n v="80"/>
    <x v="1"/>
    <n v="13"/>
    <x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s v="No"/>
    <n v="14"/>
    <x v="0"/>
    <n v="2"/>
    <n v="80"/>
    <x v="3"/>
    <n v="29"/>
    <x v="1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s v="No"/>
    <n v="14"/>
    <x v="0"/>
    <n v="4"/>
    <n v="80"/>
    <x v="3"/>
    <n v="16"/>
    <x v="1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s v="No"/>
    <n v="15"/>
    <x v="0"/>
    <n v="4"/>
    <n v="80"/>
    <x v="1"/>
    <n v="5"/>
    <x v="1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s v="No"/>
    <n v="11"/>
    <x v="0"/>
    <n v="1"/>
    <n v="80"/>
    <x v="0"/>
    <n v="7"/>
    <x v="5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s v="Yes"/>
    <n v="23"/>
    <x v="1"/>
    <n v="3"/>
    <n v="80"/>
    <x v="0"/>
    <n v="16"/>
    <x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s v="No"/>
    <n v="13"/>
    <x v="0"/>
    <n v="1"/>
    <n v="80"/>
    <x v="1"/>
    <n v="1"/>
    <x v="1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s v="Yes"/>
    <n v="11"/>
    <x v="0"/>
    <n v="3"/>
    <n v="80"/>
    <x v="0"/>
    <n v="4"/>
    <x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s v="No"/>
    <n v="13"/>
    <x v="0"/>
    <n v="3"/>
    <n v="80"/>
    <x v="1"/>
    <n v="1"/>
    <x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s v="Yes"/>
    <n v="18"/>
    <x v="0"/>
    <n v="2"/>
    <n v="80"/>
    <x v="0"/>
    <n v="16"/>
    <x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s v="No"/>
    <n v="14"/>
    <x v="0"/>
    <n v="3"/>
    <n v="80"/>
    <x v="3"/>
    <n v="10"/>
    <x v="1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s v="No"/>
    <n v="21"/>
    <x v="1"/>
    <n v="1"/>
    <n v="80"/>
    <x v="1"/>
    <n v="6"/>
    <x v="1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s v="Yes"/>
    <n v="16"/>
    <x v="0"/>
    <n v="2"/>
    <n v="80"/>
    <x v="0"/>
    <n v="4"/>
    <x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s v="No"/>
    <n v="11"/>
    <x v="0"/>
    <n v="4"/>
    <n v="80"/>
    <x v="0"/>
    <n v="8"/>
    <x v="3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s v="Yes"/>
    <n v="17"/>
    <x v="0"/>
    <n v="3"/>
    <n v="80"/>
    <x v="1"/>
    <n v="11"/>
    <x v="5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s v="No"/>
    <n v="11"/>
    <x v="0"/>
    <n v="3"/>
    <n v="80"/>
    <x v="0"/>
    <n v="8"/>
    <x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s v="No"/>
    <n v="14"/>
    <x v="0"/>
    <n v="4"/>
    <n v="80"/>
    <x v="1"/>
    <n v="1"/>
    <x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s v="No"/>
    <n v="14"/>
    <x v="0"/>
    <n v="4"/>
    <n v="80"/>
    <x v="0"/>
    <n v="5"/>
    <x v="3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s v="No"/>
    <n v="25"/>
    <x v="1"/>
    <n v="1"/>
    <n v="80"/>
    <x v="1"/>
    <n v="10"/>
    <x v="1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s v="No"/>
    <n v="13"/>
    <x v="0"/>
    <n v="3"/>
    <n v="80"/>
    <x v="2"/>
    <n v="4"/>
    <x v="1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s v="No"/>
    <n v="14"/>
    <x v="0"/>
    <n v="2"/>
    <n v="80"/>
    <x v="3"/>
    <n v="8"/>
    <x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s v="Yes"/>
    <n v="17"/>
    <x v="0"/>
    <n v="1"/>
    <n v="80"/>
    <x v="0"/>
    <n v="14"/>
    <x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s v="No"/>
    <n v="25"/>
    <x v="1"/>
    <n v="2"/>
    <n v="80"/>
    <x v="0"/>
    <n v="10"/>
    <x v="3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s v="No"/>
    <n v="20"/>
    <x v="1"/>
    <n v="1"/>
    <n v="80"/>
    <x v="1"/>
    <n v="26"/>
    <x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s v="No"/>
    <n v="13"/>
    <x v="0"/>
    <n v="3"/>
    <n v="80"/>
    <x v="0"/>
    <n v="11"/>
    <x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s v="No"/>
    <n v="13"/>
    <x v="0"/>
    <n v="3"/>
    <n v="80"/>
    <x v="1"/>
    <n v="24"/>
    <x v="4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s v="No"/>
    <n v="18"/>
    <x v="0"/>
    <n v="4"/>
    <n v="80"/>
    <x v="0"/>
    <n v="9"/>
    <x v="1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s v="No"/>
    <n v="12"/>
    <x v="0"/>
    <n v="4"/>
    <n v="80"/>
    <x v="1"/>
    <n v="23"/>
    <x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s v="No"/>
    <n v="19"/>
    <x v="0"/>
    <n v="4"/>
    <n v="80"/>
    <x v="0"/>
    <n v="11"/>
    <x v="1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s v="No"/>
    <n v="14"/>
    <x v="0"/>
    <n v="2"/>
    <n v="80"/>
    <x v="0"/>
    <n v="5"/>
    <x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s v="No"/>
    <n v="14"/>
    <x v="0"/>
    <n v="2"/>
    <n v="80"/>
    <x v="0"/>
    <n v="15"/>
    <x v="1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s v="Yes"/>
    <n v="14"/>
    <x v="0"/>
    <n v="4"/>
    <n v="80"/>
    <x v="0"/>
    <n v="10"/>
    <x v="1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s v="No"/>
    <n v="12"/>
    <x v="0"/>
    <n v="1"/>
    <n v="80"/>
    <x v="0"/>
    <n v="7"/>
    <x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s v="Yes"/>
    <n v="13"/>
    <x v="0"/>
    <n v="4"/>
    <n v="80"/>
    <x v="0"/>
    <n v="32"/>
    <x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s v="Yes"/>
    <n v="25"/>
    <x v="1"/>
    <n v="2"/>
    <n v="80"/>
    <x v="1"/>
    <n v="12"/>
    <x v="5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s v="No"/>
    <n v="14"/>
    <x v="0"/>
    <n v="2"/>
    <n v="80"/>
    <x v="1"/>
    <n v="4"/>
    <x v="1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s v="No"/>
    <n v="17"/>
    <x v="0"/>
    <n v="1"/>
    <n v="80"/>
    <x v="0"/>
    <n v="10"/>
    <x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s v="No"/>
    <n v="13"/>
    <x v="0"/>
    <n v="3"/>
    <n v="80"/>
    <x v="1"/>
    <n v="9"/>
    <x v="1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s v="No"/>
    <n v="13"/>
    <x v="0"/>
    <n v="4"/>
    <n v="80"/>
    <x v="0"/>
    <n v="5"/>
    <x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s v="No"/>
    <n v="20"/>
    <x v="1"/>
    <n v="4"/>
    <n v="80"/>
    <x v="1"/>
    <n v="8"/>
    <x v="1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s v="Yes"/>
    <n v="14"/>
    <x v="0"/>
    <n v="3"/>
    <n v="80"/>
    <x v="1"/>
    <n v="24"/>
    <x v="1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s v="No"/>
    <n v="12"/>
    <x v="0"/>
    <n v="4"/>
    <n v="80"/>
    <x v="0"/>
    <n v="9"/>
    <x v="3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s v="Yes"/>
    <n v="12"/>
    <x v="0"/>
    <n v="2"/>
    <n v="80"/>
    <x v="1"/>
    <n v="15"/>
    <x v="1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s v="Yes"/>
    <n v="21"/>
    <x v="1"/>
    <n v="4"/>
    <n v="80"/>
    <x v="0"/>
    <n v="21"/>
    <x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s v="No"/>
    <n v="14"/>
    <x v="0"/>
    <n v="2"/>
    <n v="80"/>
    <x v="2"/>
    <n v="2"/>
    <x v="1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s v="Yes"/>
    <n v="18"/>
    <x v="0"/>
    <n v="3"/>
    <n v="80"/>
    <x v="0"/>
    <n v="8"/>
    <x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s v="No"/>
    <n v="12"/>
    <x v="0"/>
    <n v="1"/>
    <n v="80"/>
    <x v="2"/>
    <n v="10"/>
    <x v="5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s v="No"/>
    <n v="23"/>
    <x v="1"/>
    <n v="1"/>
    <n v="80"/>
    <x v="3"/>
    <n v="6"/>
    <x v="3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s v="No"/>
    <n v="12"/>
    <x v="0"/>
    <n v="1"/>
    <n v="80"/>
    <x v="1"/>
    <n v="12"/>
    <x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s v="Yes"/>
    <n v="21"/>
    <x v="1"/>
    <n v="4"/>
    <n v="80"/>
    <x v="0"/>
    <n v="7"/>
    <x v="1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s v="No"/>
    <n v="14"/>
    <x v="0"/>
    <n v="3"/>
    <n v="80"/>
    <x v="1"/>
    <n v="18"/>
    <x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s v="No"/>
    <n v="18"/>
    <x v="0"/>
    <n v="1"/>
    <n v="80"/>
    <x v="3"/>
    <n v="5"/>
    <x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s v="No"/>
    <n v="13"/>
    <x v="0"/>
    <n v="4"/>
    <n v="80"/>
    <x v="1"/>
    <n v="8"/>
    <x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s v="No"/>
    <n v="11"/>
    <x v="0"/>
    <n v="4"/>
    <n v="80"/>
    <x v="1"/>
    <n v="10"/>
    <x v="5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s v="No"/>
    <n v="11"/>
    <x v="0"/>
    <n v="3"/>
    <n v="80"/>
    <x v="0"/>
    <n v="10"/>
    <x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s v="No"/>
    <n v="19"/>
    <x v="0"/>
    <n v="2"/>
    <n v="80"/>
    <x v="0"/>
    <n v="3"/>
    <x v="1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s v="No"/>
    <n v="12"/>
    <x v="0"/>
    <n v="2"/>
    <n v="80"/>
    <x v="1"/>
    <n v="9"/>
    <x v="1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s v="Yes"/>
    <n v="12"/>
    <x v="0"/>
    <n v="4"/>
    <n v="80"/>
    <x v="1"/>
    <n v="1"/>
    <x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s v="No"/>
    <n v="16"/>
    <x v="0"/>
    <n v="2"/>
    <n v="80"/>
    <x v="1"/>
    <n v="34"/>
    <x v="5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s v="No"/>
    <n v="11"/>
    <x v="0"/>
    <n v="1"/>
    <n v="80"/>
    <x v="3"/>
    <n v="7"/>
    <x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s v="No"/>
    <n v="14"/>
    <x v="0"/>
    <n v="2"/>
    <n v="80"/>
    <x v="1"/>
    <n v="9"/>
    <x v="1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s v="No"/>
    <n v="12"/>
    <x v="0"/>
    <n v="4"/>
    <n v="80"/>
    <x v="1"/>
    <n v="10"/>
    <x v="1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s v="No"/>
    <n v="13"/>
    <x v="0"/>
    <n v="3"/>
    <n v="80"/>
    <x v="0"/>
    <n v="1"/>
    <x v="5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s v="No"/>
    <n v="21"/>
    <x v="1"/>
    <n v="3"/>
    <n v="80"/>
    <x v="1"/>
    <n v="36"/>
    <x v="1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s v="No"/>
    <n v="17"/>
    <x v="0"/>
    <n v="2"/>
    <n v="80"/>
    <x v="1"/>
    <n v="9"/>
    <x v="1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s v="No"/>
    <n v="21"/>
    <x v="1"/>
    <n v="1"/>
    <n v="80"/>
    <x v="0"/>
    <n v="1"/>
    <x v="3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s v="No"/>
    <n v="11"/>
    <x v="0"/>
    <n v="4"/>
    <n v="80"/>
    <x v="1"/>
    <n v="10"/>
    <x v="1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s v="No"/>
    <n v="12"/>
    <x v="0"/>
    <n v="2"/>
    <n v="80"/>
    <x v="0"/>
    <n v="8"/>
    <x v="3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s v="No"/>
    <n v="13"/>
    <x v="0"/>
    <n v="1"/>
    <n v="80"/>
    <x v="0"/>
    <n v="15"/>
    <x v="3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s v="Yes"/>
    <n v="18"/>
    <x v="0"/>
    <n v="4"/>
    <n v="80"/>
    <x v="0"/>
    <n v="10"/>
    <x v="1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s v="Yes"/>
    <n v="16"/>
    <x v="0"/>
    <n v="3"/>
    <n v="80"/>
    <x v="0"/>
    <n v="10"/>
    <x v="5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s v="No"/>
    <n v="11"/>
    <x v="0"/>
    <n v="1"/>
    <n v="80"/>
    <x v="1"/>
    <n v="11"/>
    <x v="1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s v="No"/>
    <n v="19"/>
    <x v="0"/>
    <n v="4"/>
    <n v="80"/>
    <x v="1"/>
    <n v="6"/>
    <x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s v="Yes"/>
    <n v="16"/>
    <x v="0"/>
    <n v="3"/>
    <n v="80"/>
    <x v="1"/>
    <n v="27"/>
    <x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s v="No"/>
    <n v="16"/>
    <x v="0"/>
    <n v="4"/>
    <n v="80"/>
    <x v="1"/>
    <n v="4"/>
    <x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s v="Yes"/>
    <n v="13"/>
    <x v="0"/>
    <n v="4"/>
    <n v="80"/>
    <x v="1"/>
    <n v="9"/>
    <x v="1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s v="No"/>
    <n v="22"/>
    <x v="1"/>
    <n v="4"/>
    <n v="80"/>
    <x v="0"/>
    <n v="24"/>
    <x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s v="No"/>
    <n v="17"/>
    <x v="0"/>
    <n v="4"/>
    <n v="80"/>
    <x v="3"/>
    <n v="10"/>
    <x v="1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s v="No"/>
    <n v="14"/>
    <x v="0"/>
    <n v="2"/>
    <n v="80"/>
    <x v="1"/>
    <n v="8"/>
    <x v="1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s v="No"/>
    <n v="15"/>
    <x v="0"/>
    <n v="3"/>
    <n v="80"/>
    <x v="1"/>
    <n v="5"/>
    <x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s v="No"/>
    <n v="12"/>
    <x v="0"/>
    <n v="3"/>
    <n v="80"/>
    <x v="1"/>
    <n v="8"/>
    <x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s v="No"/>
    <n v="18"/>
    <x v="0"/>
    <n v="4"/>
    <n v="80"/>
    <x v="1"/>
    <n v="1"/>
    <x v="3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s v="No"/>
    <n v="15"/>
    <x v="0"/>
    <n v="2"/>
    <n v="80"/>
    <x v="0"/>
    <n v="27"/>
    <x v="3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s v="Yes"/>
    <n v="17"/>
    <x v="0"/>
    <n v="3"/>
    <n v="80"/>
    <x v="2"/>
    <n v="1"/>
    <x v="1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s v="Yes"/>
    <n v="14"/>
    <x v="0"/>
    <n v="2"/>
    <n v="80"/>
    <x v="0"/>
    <n v="4"/>
    <x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s v="Yes"/>
    <n v="15"/>
    <x v="0"/>
    <n v="3"/>
    <n v="80"/>
    <x v="1"/>
    <n v="32"/>
    <x v="1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s v="No"/>
    <n v="17"/>
    <x v="0"/>
    <n v="4"/>
    <n v="80"/>
    <x v="3"/>
    <n v="6"/>
    <x v="1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s v="Yes"/>
    <n v="14"/>
    <x v="0"/>
    <n v="4"/>
    <n v="80"/>
    <x v="1"/>
    <n v="23"/>
    <x v="5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s v="No"/>
    <n v="12"/>
    <x v="0"/>
    <n v="2"/>
    <n v="80"/>
    <x v="1"/>
    <n v="6"/>
    <x v="1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s v="Yes"/>
    <n v="14"/>
    <x v="0"/>
    <n v="1"/>
    <n v="80"/>
    <x v="0"/>
    <n v="10"/>
    <x v="1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s v="No"/>
    <n v="15"/>
    <x v="0"/>
    <n v="1"/>
    <n v="80"/>
    <x v="1"/>
    <n v="10"/>
    <x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s v="No"/>
    <n v="13"/>
    <x v="0"/>
    <n v="4"/>
    <n v="80"/>
    <x v="0"/>
    <n v="10"/>
    <x v="1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s v="Yes"/>
    <n v="12"/>
    <x v="0"/>
    <n v="2"/>
    <n v="80"/>
    <x v="3"/>
    <n v="7"/>
    <x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s v="No"/>
    <n v="13"/>
    <x v="0"/>
    <n v="1"/>
    <n v="80"/>
    <x v="1"/>
    <n v="9"/>
    <x v="1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s v="No"/>
    <n v="14"/>
    <x v="0"/>
    <n v="4"/>
    <n v="80"/>
    <x v="1"/>
    <n v="10"/>
    <x v="1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s v="No"/>
    <n v="13"/>
    <x v="0"/>
    <n v="4"/>
    <n v="80"/>
    <x v="2"/>
    <n v="10"/>
    <x v="1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s v="No"/>
    <n v="11"/>
    <x v="0"/>
    <n v="1"/>
    <n v="80"/>
    <x v="3"/>
    <n v="7"/>
    <x v="1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s v="No"/>
    <n v="11"/>
    <x v="0"/>
    <n v="4"/>
    <n v="80"/>
    <x v="0"/>
    <n v="16"/>
    <x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s v="No"/>
    <n v="21"/>
    <x v="1"/>
    <n v="2"/>
    <n v="80"/>
    <x v="1"/>
    <n v="6"/>
    <x v="3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s v="No"/>
    <n v="18"/>
    <x v="0"/>
    <n v="3"/>
    <n v="80"/>
    <x v="0"/>
    <n v="3"/>
    <x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s v="Yes"/>
    <n v="12"/>
    <x v="0"/>
    <n v="3"/>
    <n v="80"/>
    <x v="0"/>
    <n v="0"/>
    <x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s v="No"/>
    <n v="11"/>
    <x v="0"/>
    <n v="3"/>
    <n v="80"/>
    <x v="1"/>
    <n v="27"/>
    <x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s v="No"/>
    <n v="15"/>
    <x v="0"/>
    <n v="4"/>
    <n v="80"/>
    <x v="1"/>
    <n v="11"/>
    <x v="1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s v="No"/>
    <n v="13"/>
    <x v="0"/>
    <n v="4"/>
    <n v="80"/>
    <x v="3"/>
    <n v="18"/>
    <x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s v="No"/>
    <n v="12"/>
    <x v="0"/>
    <n v="4"/>
    <n v="80"/>
    <x v="1"/>
    <n v="15"/>
    <x v="3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s v="No"/>
    <n v="17"/>
    <x v="0"/>
    <n v="1"/>
    <n v="80"/>
    <x v="2"/>
    <n v="9"/>
    <x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s v="No"/>
    <n v="13"/>
    <x v="0"/>
    <n v="4"/>
    <n v="80"/>
    <x v="0"/>
    <n v="10"/>
    <x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s v="No"/>
    <n v="19"/>
    <x v="0"/>
    <n v="1"/>
    <n v="80"/>
    <x v="3"/>
    <n v="10"/>
    <x v="1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s v="Yes"/>
    <n v="19"/>
    <x v="0"/>
    <n v="4"/>
    <n v="80"/>
    <x v="1"/>
    <n v="10"/>
    <x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s v="No"/>
    <n v="17"/>
    <x v="0"/>
    <n v="3"/>
    <n v="80"/>
    <x v="0"/>
    <n v="15"/>
    <x v="1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s v="No"/>
    <n v="11"/>
    <x v="0"/>
    <n v="1"/>
    <n v="80"/>
    <x v="1"/>
    <n v="8"/>
    <x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s v="Yes"/>
    <n v="15"/>
    <x v="0"/>
    <n v="4"/>
    <n v="80"/>
    <x v="0"/>
    <n v="18"/>
    <x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s v="Yes"/>
    <n v="11"/>
    <x v="0"/>
    <n v="3"/>
    <n v="80"/>
    <x v="0"/>
    <n v="14"/>
    <x v="1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s v="No"/>
    <n v="25"/>
    <x v="1"/>
    <n v="2"/>
    <n v="80"/>
    <x v="1"/>
    <n v="23"/>
    <x v="1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s v="Yes"/>
    <n v="14"/>
    <x v="0"/>
    <n v="4"/>
    <n v="80"/>
    <x v="3"/>
    <n v="7"/>
    <x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s v="Yes"/>
    <n v="13"/>
    <x v="0"/>
    <n v="3"/>
    <n v="80"/>
    <x v="0"/>
    <n v="6"/>
    <x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s v="No"/>
    <n v="17"/>
    <x v="0"/>
    <n v="1"/>
    <n v="80"/>
    <x v="0"/>
    <n v="5"/>
    <x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s v="No"/>
    <n v="13"/>
    <x v="0"/>
    <n v="3"/>
    <n v="80"/>
    <x v="0"/>
    <n v="6"/>
    <x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s v="Yes"/>
    <n v="14"/>
    <x v="0"/>
    <n v="2"/>
    <n v="80"/>
    <x v="0"/>
    <n v="10"/>
    <x v="1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s v="No"/>
    <n v="11"/>
    <x v="0"/>
    <n v="3"/>
    <n v="80"/>
    <x v="0"/>
    <n v="8"/>
    <x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s v="No"/>
    <n v="12"/>
    <x v="0"/>
    <n v="3"/>
    <n v="80"/>
    <x v="3"/>
    <n v="9"/>
    <x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s v="No"/>
    <n v="17"/>
    <x v="0"/>
    <n v="3"/>
    <n v="80"/>
    <x v="3"/>
    <n v="7"/>
    <x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s v="No"/>
    <n v="21"/>
    <x v="1"/>
    <n v="3"/>
    <n v="80"/>
    <x v="0"/>
    <n v="7"/>
    <x v="1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s v="No"/>
    <n v="16"/>
    <x v="0"/>
    <n v="2"/>
    <n v="80"/>
    <x v="3"/>
    <n v="27"/>
    <x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s v="No"/>
    <n v="15"/>
    <x v="0"/>
    <n v="3"/>
    <n v="80"/>
    <x v="2"/>
    <n v="19"/>
    <x v="1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s v="No"/>
    <n v="19"/>
    <x v="0"/>
    <n v="1"/>
    <n v="80"/>
    <x v="0"/>
    <n v="2"/>
    <x v="1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s v="No"/>
    <n v="12"/>
    <x v="0"/>
    <n v="3"/>
    <n v="80"/>
    <x v="1"/>
    <n v="11"/>
    <x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s v="No"/>
    <n v="11"/>
    <x v="0"/>
    <n v="3"/>
    <n v="80"/>
    <x v="0"/>
    <n v="15"/>
    <x v="5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s v="Yes"/>
    <n v="19"/>
    <x v="0"/>
    <n v="2"/>
    <n v="80"/>
    <x v="1"/>
    <n v="30"/>
    <x v="1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s v="No"/>
    <n v="15"/>
    <x v="0"/>
    <n v="3"/>
    <n v="80"/>
    <x v="0"/>
    <n v="4"/>
    <x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s v="No"/>
    <n v="20"/>
    <x v="1"/>
    <n v="1"/>
    <n v="80"/>
    <x v="1"/>
    <n v="13"/>
    <x v="1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s v="No"/>
    <n v="25"/>
    <x v="1"/>
    <n v="3"/>
    <n v="80"/>
    <x v="1"/>
    <n v="36"/>
    <x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s v="No"/>
    <n v="24"/>
    <x v="1"/>
    <n v="1"/>
    <n v="80"/>
    <x v="1"/>
    <n v="14"/>
    <x v="1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s v="Yes"/>
    <n v="24"/>
    <x v="1"/>
    <n v="1"/>
    <n v="80"/>
    <x v="0"/>
    <n v="13"/>
    <x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s v="No"/>
    <n v="15"/>
    <x v="0"/>
    <n v="4"/>
    <n v="80"/>
    <x v="3"/>
    <n v="19"/>
    <x v="5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s v="Yes"/>
    <n v="13"/>
    <x v="0"/>
    <n v="2"/>
    <n v="80"/>
    <x v="1"/>
    <n v="10"/>
    <x v="1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s v="No"/>
    <n v="14"/>
    <x v="0"/>
    <n v="3"/>
    <n v="80"/>
    <x v="3"/>
    <n v="6"/>
    <x v="3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s v="No"/>
    <n v="13"/>
    <x v="0"/>
    <n v="3"/>
    <n v="80"/>
    <x v="3"/>
    <n v="10"/>
    <x v="5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s v="No"/>
    <n v="11"/>
    <x v="0"/>
    <n v="1"/>
    <n v="80"/>
    <x v="3"/>
    <n v="10"/>
    <x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s v="Yes"/>
    <n v="16"/>
    <x v="0"/>
    <n v="2"/>
    <n v="80"/>
    <x v="1"/>
    <n v="17"/>
    <x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s v="No"/>
    <n v="22"/>
    <x v="1"/>
    <n v="2"/>
    <n v="80"/>
    <x v="0"/>
    <n v="4"/>
    <x v="1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s v="No"/>
    <n v="14"/>
    <x v="0"/>
    <n v="3"/>
    <n v="80"/>
    <x v="2"/>
    <n v="29"/>
    <x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s v="No"/>
    <n v="14"/>
    <x v="0"/>
    <n v="1"/>
    <n v="80"/>
    <x v="0"/>
    <n v="23"/>
    <x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s v="Yes"/>
    <n v="16"/>
    <x v="0"/>
    <n v="4"/>
    <n v="80"/>
    <x v="0"/>
    <n v="21"/>
    <x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s v="No"/>
    <n v="11"/>
    <x v="0"/>
    <n v="1"/>
    <n v="80"/>
    <x v="0"/>
    <n v="2"/>
    <x v="1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s v="Yes"/>
    <n v="25"/>
    <x v="1"/>
    <n v="3"/>
    <n v="80"/>
    <x v="1"/>
    <n v="7"/>
    <x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s v="No"/>
    <n v="14"/>
    <x v="0"/>
    <n v="2"/>
    <n v="80"/>
    <x v="3"/>
    <n v="10"/>
    <x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s v="Yes"/>
    <n v="18"/>
    <x v="0"/>
    <n v="1"/>
    <n v="80"/>
    <x v="2"/>
    <n v="8"/>
    <x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s v="Yes"/>
    <n v="11"/>
    <x v="0"/>
    <n v="1"/>
    <n v="80"/>
    <x v="0"/>
    <n v="5"/>
    <x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s v="No"/>
    <n v="19"/>
    <x v="0"/>
    <n v="4"/>
    <n v="80"/>
    <x v="1"/>
    <n v="7"/>
    <x v="3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s v="No"/>
    <n v="15"/>
    <x v="0"/>
    <n v="3"/>
    <n v="80"/>
    <x v="0"/>
    <n v="11"/>
    <x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s v="Yes"/>
    <n v="11"/>
    <x v="0"/>
    <n v="3"/>
    <n v="80"/>
    <x v="3"/>
    <n v="19"/>
    <x v="1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s v="No"/>
    <n v="12"/>
    <x v="0"/>
    <n v="1"/>
    <n v="80"/>
    <x v="0"/>
    <n v="1"/>
    <x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s v="No"/>
    <n v="20"/>
    <x v="1"/>
    <n v="3"/>
    <n v="80"/>
    <x v="0"/>
    <n v="7"/>
    <x v="3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s v="No"/>
    <n v="12"/>
    <x v="0"/>
    <n v="4"/>
    <n v="80"/>
    <x v="1"/>
    <n v="8"/>
    <x v="4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s v="No"/>
    <n v="14"/>
    <x v="0"/>
    <n v="3"/>
    <n v="80"/>
    <x v="1"/>
    <n v="15"/>
    <x v="1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s v="No"/>
    <n v="20"/>
    <x v="1"/>
    <n v="3"/>
    <n v="80"/>
    <x v="1"/>
    <n v="19"/>
    <x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s v="No"/>
    <n v="18"/>
    <x v="0"/>
    <n v="4"/>
    <n v="80"/>
    <x v="2"/>
    <n v="14"/>
    <x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s v="No"/>
    <n v="14"/>
    <x v="0"/>
    <n v="3"/>
    <n v="80"/>
    <x v="3"/>
    <n v="6"/>
    <x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s v="No"/>
    <n v="12"/>
    <x v="0"/>
    <n v="2"/>
    <n v="80"/>
    <x v="0"/>
    <n v="10"/>
    <x v="1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s v="Yes"/>
    <n v="21"/>
    <x v="1"/>
    <n v="2"/>
    <n v="80"/>
    <x v="1"/>
    <n v="3"/>
    <x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s v="Yes"/>
    <n v="19"/>
    <x v="0"/>
    <n v="2"/>
    <n v="80"/>
    <x v="1"/>
    <n v="9"/>
    <x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s v="Yes"/>
    <n v="14"/>
    <x v="0"/>
    <n v="3"/>
    <n v="80"/>
    <x v="0"/>
    <n v="6"/>
    <x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s v="Yes"/>
    <n v="17"/>
    <x v="0"/>
    <n v="1"/>
    <n v="80"/>
    <x v="1"/>
    <n v="10"/>
    <x v="1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s v="No"/>
    <n v="16"/>
    <x v="0"/>
    <n v="4"/>
    <n v="80"/>
    <x v="1"/>
    <n v="5"/>
    <x v="4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s v="No"/>
    <n v="12"/>
    <x v="0"/>
    <n v="2"/>
    <n v="80"/>
    <x v="0"/>
    <n v="10"/>
    <x v="1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s v="No"/>
    <n v="17"/>
    <x v="0"/>
    <n v="3"/>
    <n v="80"/>
    <x v="1"/>
    <n v="9"/>
    <x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s v="No"/>
    <n v="15"/>
    <x v="0"/>
    <n v="3"/>
    <n v="80"/>
    <x v="0"/>
    <n v="17"/>
    <x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s v="No"/>
    <n v="23"/>
    <x v="1"/>
    <n v="4"/>
    <n v="80"/>
    <x v="1"/>
    <n v="25"/>
    <x v="1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s v="No"/>
    <n v="11"/>
    <x v="0"/>
    <n v="3"/>
    <n v="80"/>
    <x v="1"/>
    <n v="1"/>
    <x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s v="No"/>
    <n v="11"/>
    <x v="0"/>
    <n v="3"/>
    <n v="80"/>
    <x v="0"/>
    <n v="25"/>
    <x v="1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s v="No"/>
    <n v="15"/>
    <x v="0"/>
    <n v="3"/>
    <n v="80"/>
    <x v="2"/>
    <n v="3"/>
    <x v="1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s v="No"/>
    <n v="11"/>
    <x v="0"/>
    <n v="3"/>
    <n v="80"/>
    <x v="0"/>
    <n v="21"/>
    <x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s v="No"/>
    <n v="13"/>
    <x v="0"/>
    <n v="1"/>
    <n v="80"/>
    <x v="1"/>
    <n v="10"/>
    <x v="1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s v="No"/>
    <n v="14"/>
    <x v="0"/>
    <n v="4"/>
    <n v="80"/>
    <x v="1"/>
    <n v="6"/>
    <x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s v="No"/>
    <n v="19"/>
    <x v="0"/>
    <n v="2"/>
    <n v="80"/>
    <x v="1"/>
    <n v="10"/>
    <x v="5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s v="Yes"/>
    <n v="16"/>
    <x v="0"/>
    <n v="2"/>
    <n v="80"/>
    <x v="1"/>
    <n v="18"/>
    <x v="1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s v="No"/>
    <n v="13"/>
    <x v="0"/>
    <n v="2"/>
    <n v="80"/>
    <x v="2"/>
    <n v="6"/>
    <x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s v="No"/>
    <n v="14"/>
    <x v="0"/>
    <n v="4"/>
    <n v="80"/>
    <x v="0"/>
    <n v="19"/>
    <x v="1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s v="No"/>
    <n v="16"/>
    <x v="0"/>
    <n v="2"/>
    <n v="80"/>
    <x v="1"/>
    <n v="17"/>
    <x v="1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s v="No"/>
    <n v="12"/>
    <x v="0"/>
    <n v="2"/>
    <n v="80"/>
    <x v="1"/>
    <n v="10"/>
    <x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s v="No"/>
    <n v="11"/>
    <x v="0"/>
    <n v="4"/>
    <n v="80"/>
    <x v="1"/>
    <n v="4"/>
    <x v="1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s v="Yes"/>
    <n v="12"/>
    <x v="0"/>
    <n v="2"/>
    <n v="80"/>
    <x v="1"/>
    <n v="13"/>
    <x v="3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s v="Yes"/>
    <n v="13"/>
    <x v="0"/>
    <n v="2"/>
    <n v="80"/>
    <x v="2"/>
    <n v="16"/>
    <x v="1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s v="No"/>
    <n v="15"/>
    <x v="0"/>
    <n v="2"/>
    <n v="80"/>
    <x v="0"/>
    <n v="10"/>
    <x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s v="No"/>
    <n v="13"/>
    <x v="0"/>
    <n v="3"/>
    <n v="80"/>
    <x v="0"/>
    <n v="3"/>
    <x v="1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s v="No"/>
    <n v="20"/>
    <x v="1"/>
    <n v="4"/>
    <n v="80"/>
    <x v="0"/>
    <n v="9"/>
    <x v="1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s v="Yes"/>
    <n v="15"/>
    <x v="0"/>
    <n v="4"/>
    <n v="80"/>
    <x v="1"/>
    <n v="9"/>
    <x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s v="No"/>
    <n v="13"/>
    <x v="0"/>
    <n v="3"/>
    <n v="80"/>
    <x v="1"/>
    <n v="10"/>
    <x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s v="No"/>
    <n v="14"/>
    <x v="0"/>
    <n v="2"/>
    <n v="80"/>
    <x v="0"/>
    <n v="21"/>
    <x v="1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s v="No"/>
    <n v="21"/>
    <x v="1"/>
    <n v="3"/>
    <n v="80"/>
    <x v="3"/>
    <n v="9"/>
    <x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s v="No"/>
    <n v="16"/>
    <x v="0"/>
    <n v="4"/>
    <n v="80"/>
    <x v="0"/>
    <n v="10"/>
    <x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s v="No"/>
    <n v="14"/>
    <x v="0"/>
    <n v="4"/>
    <n v="80"/>
    <x v="1"/>
    <n v="3"/>
    <x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s v="No"/>
    <n v="11"/>
    <x v="0"/>
    <n v="3"/>
    <n v="80"/>
    <x v="1"/>
    <n v="6"/>
    <x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s v="No"/>
    <n v="19"/>
    <x v="0"/>
    <n v="3"/>
    <n v="80"/>
    <x v="1"/>
    <n v="6"/>
    <x v="1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s v="No"/>
    <n v="11"/>
    <x v="0"/>
    <n v="3"/>
    <n v="80"/>
    <x v="0"/>
    <n v="6"/>
    <x v="3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s v="No"/>
    <n v="13"/>
    <x v="0"/>
    <n v="3"/>
    <n v="80"/>
    <x v="0"/>
    <n v="2"/>
    <x v="1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s v="Yes"/>
    <n v="12"/>
    <x v="0"/>
    <n v="4"/>
    <n v="80"/>
    <x v="0"/>
    <n v="10"/>
    <x v="3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s v="No"/>
    <n v="11"/>
    <x v="0"/>
    <n v="1"/>
    <n v="80"/>
    <x v="1"/>
    <n v="12"/>
    <x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s v="Yes"/>
    <n v="14"/>
    <x v="0"/>
    <n v="1"/>
    <n v="80"/>
    <x v="2"/>
    <n v="6"/>
    <x v="1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s v="No"/>
    <n v="15"/>
    <x v="0"/>
    <n v="4"/>
    <n v="80"/>
    <x v="0"/>
    <n v="13"/>
    <x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s v="No"/>
    <n v="12"/>
    <x v="0"/>
    <n v="3"/>
    <n v="80"/>
    <x v="0"/>
    <n v="8"/>
    <x v="4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s v="Yes"/>
    <n v="20"/>
    <x v="1"/>
    <n v="3"/>
    <n v="80"/>
    <x v="0"/>
    <n v="11"/>
    <x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s v="No"/>
    <n v="14"/>
    <x v="0"/>
    <n v="2"/>
    <n v="80"/>
    <x v="1"/>
    <n v="9"/>
    <x v="5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s v="No"/>
    <n v="13"/>
    <x v="0"/>
    <n v="1"/>
    <n v="80"/>
    <x v="2"/>
    <n v="10"/>
    <x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s v="No"/>
    <n v="13"/>
    <x v="0"/>
    <n v="3"/>
    <n v="80"/>
    <x v="1"/>
    <n v="1"/>
    <x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s v="No"/>
    <n v="16"/>
    <x v="0"/>
    <n v="3"/>
    <n v="80"/>
    <x v="1"/>
    <n v="10"/>
    <x v="1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s v="No"/>
    <n v="14"/>
    <x v="0"/>
    <n v="2"/>
    <n v="80"/>
    <x v="0"/>
    <n v="12"/>
    <x v="1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s v="Yes"/>
    <n v="16"/>
    <x v="0"/>
    <n v="3"/>
    <n v="80"/>
    <x v="1"/>
    <n v="15"/>
    <x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s v="Yes"/>
    <n v="16"/>
    <x v="0"/>
    <n v="4"/>
    <n v="80"/>
    <x v="1"/>
    <n v="6"/>
    <x v="5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s v="No"/>
    <n v="22"/>
    <x v="1"/>
    <n v="2"/>
    <n v="80"/>
    <x v="2"/>
    <n v="7"/>
    <x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s v="No"/>
    <n v="12"/>
    <x v="0"/>
    <n v="2"/>
    <n v="80"/>
    <x v="2"/>
    <n v="34"/>
    <x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s v="No"/>
    <n v="15"/>
    <x v="0"/>
    <n v="4"/>
    <n v="80"/>
    <x v="3"/>
    <n v="11"/>
    <x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s v="No"/>
    <n v="20"/>
    <x v="1"/>
    <n v="2"/>
    <n v="80"/>
    <x v="3"/>
    <n v="5"/>
    <x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s v="Yes"/>
    <n v="14"/>
    <x v="0"/>
    <n v="3"/>
    <n v="80"/>
    <x v="1"/>
    <n v="15"/>
    <x v="1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s v="Yes"/>
    <n v="20"/>
    <x v="1"/>
    <n v="4"/>
    <n v="80"/>
    <x v="2"/>
    <n v="27"/>
    <x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s v="No"/>
    <n v="13"/>
    <x v="0"/>
    <n v="2"/>
    <n v="80"/>
    <x v="0"/>
    <n v="10"/>
    <x v="3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s v="No"/>
    <n v="12"/>
    <x v="0"/>
    <n v="1"/>
    <n v="80"/>
    <x v="0"/>
    <n v="6"/>
    <x v="1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s v="No"/>
    <n v="13"/>
    <x v="0"/>
    <n v="2"/>
    <n v="80"/>
    <x v="0"/>
    <n v="1"/>
    <x v="1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s v="No"/>
    <n v="11"/>
    <x v="0"/>
    <n v="2"/>
    <n v="80"/>
    <x v="1"/>
    <n v="5"/>
    <x v="1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s v="Yes"/>
    <n v="17"/>
    <x v="0"/>
    <n v="3"/>
    <n v="80"/>
    <x v="0"/>
    <n v="1"/>
    <x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s v="No"/>
    <n v="14"/>
    <x v="0"/>
    <n v="1"/>
    <n v="80"/>
    <x v="3"/>
    <n v="13"/>
    <x v="1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s v="No"/>
    <n v="11"/>
    <x v="0"/>
    <n v="4"/>
    <n v="80"/>
    <x v="0"/>
    <n v="15"/>
    <x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s v="No"/>
    <n v="14"/>
    <x v="0"/>
    <n v="1"/>
    <n v="80"/>
    <x v="3"/>
    <n v="5"/>
    <x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s v="Yes"/>
    <n v="17"/>
    <x v="0"/>
    <n v="3"/>
    <n v="80"/>
    <x v="1"/>
    <n v="24"/>
    <x v="1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s v="Yes"/>
    <n v="13"/>
    <x v="0"/>
    <n v="4"/>
    <n v="80"/>
    <x v="1"/>
    <n v="15"/>
    <x v="4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s v="Yes"/>
    <n v="12"/>
    <x v="0"/>
    <n v="3"/>
    <n v="80"/>
    <x v="2"/>
    <n v="6"/>
    <x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s v="No"/>
    <n v="13"/>
    <x v="0"/>
    <n v="3"/>
    <n v="80"/>
    <x v="0"/>
    <n v="19"/>
    <x v="5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s v="Yes"/>
    <n v="18"/>
    <x v="0"/>
    <n v="4"/>
    <n v="80"/>
    <x v="0"/>
    <n v="10"/>
    <x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s v="No"/>
    <n v="19"/>
    <x v="0"/>
    <n v="2"/>
    <n v="80"/>
    <x v="1"/>
    <n v="14"/>
    <x v="4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s v="No"/>
    <n v="11"/>
    <x v="0"/>
    <n v="3"/>
    <n v="80"/>
    <x v="1"/>
    <n v="5"/>
    <x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s v="No"/>
    <n v="21"/>
    <x v="1"/>
    <n v="3"/>
    <n v="80"/>
    <x v="0"/>
    <n v="9"/>
    <x v="1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s v="No"/>
    <n v="15"/>
    <x v="0"/>
    <n v="3"/>
    <n v="80"/>
    <x v="0"/>
    <n v="6"/>
    <x v="1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s v="No"/>
    <n v="17"/>
    <x v="0"/>
    <n v="4"/>
    <n v="80"/>
    <x v="1"/>
    <n v="7"/>
    <x v="3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s v="No"/>
    <n v="18"/>
    <x v="0"/>
    <n v="3"/>
    <n v="80"/>
    <x v="3"/>
    <n v="10"/>
    <x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s v="No"/>
    <n v="14"/>
    <x v="0"/>
    <n v="3"/>
    <n v="80"/>
    <x v="1"/>
    <n v="15"/>
    <x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s v="No"/>
    <n v="13"/>
    <x v="0"/>
    <n v="4"/>
    <n v="80"/>
    <x v="2"/>
    <n v="13"/>
    <x v="1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s v="No"/>
    <n v="17"/>
    <x v="0"/>
    <n v="3"/>
    <n v="80"/>
    <x v="1"/>
    <n v="11"/>
    <x v="1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s v="No"/>
    <n v="15"/>
    <x v="0"/>
    <n v="2"/>
    <n v="80"/>
    <x v="0"/>
    <n v="10"/>
    <x v="5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s v="No"/>
    <n v="18"/>
    <x v="0"/>
    <n v="4"/>
    <n v="80"/>
    <x v="1"/>
    <n v="7"/>
    <x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s v="No"/>
    <n v="13"/>
    <x v="0"/>
    <n v="3"/>
    <n v="80"/>
    <x v="0"/>
    <n v="7"/>
    <x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s v="No"/>
    <n v="12"/>
    <x v="0"/>
    <n v="1"/>
    <n v="80"/>
    <x v="0"/>
    <n v="11"/>
    <x v="1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s v="Yes"/>
    <n v="13"/>
    <x v="0"/>
    <n v="4"/>
    <n v="80"/>
    <x v="1"/>
    <n v="23"/>
    <x v="1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s v="No"/>
    <n v="14"/>
    <x v="0"/>
    <n v="2"/>
    <n v="80"/>
    <x v="0"/>
    <n v="9"/>
    <x v="1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s v="Yes"/>
    <n v="11"/>
    <x v="0"/>
    <n v="3"/>
    <n v="80"/>
    <x v="0"/>
    <n v="6"/>
    <x v="1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s v="No"/>
    <n v="22"/>
    <x v="1"/>
    <n v="4"/>
    <n v="80"/>
    <x v="1"/>
    <n v="13"/>
    <x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s v="No"/>
    <n v="17"/>
    <x v="0"/>
    <n v="4"/>
    <n v="80"/>
    <x v="1"/>
    <n v="12"/>
    <x v="1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s v="No"/>
    <n v="21"/>
    <x v="1"/>
    <n v="3"/>
    <n v="80"/>
    <x v="3"/>
    <n v="10"/>
    <x v="3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s v="No"/>
    <n v="22"/>
    <x v="1"/>
    <n v="4"/>
    <n v="80"/>
    <x v="1"/>
    <n v="37"/>
    <x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s v="No"/>
    <n v="16"/>
    <x v="0"/>
    <n v="2"/>
    <n v="80"/>
    <x v="1"/>
    <n v="6"/>
    <x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s v="Yes"/>
    <n v="12"/>
    <x v="0"/>
    <n v="3"/>
    <n v="80"/>
    <x v="1"/>
    <n v="28"/>
    <x v="5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s v="No"/>
    <n v="12"/>
    <x v="0"/>
    <n v="2"/>
    <n v="80"/>
    <x v="1"/>
    <n v="15"/>
    <x v="1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s v="No"/>
    <n v="15"/>
    <x v="0"/>
    <n v="2"/>
    <n v="80"/>
    <x v="1"/>
    <n v="14"/>
    <x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s v="No"/>
    <n v="14"/>
    <x v="0"/>
    <n v="4"/>
    <n v="80"/>
    <x v="3"/>
    <n v="9"/>
    <x v="1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s v="No"/>
    <n v="25"/>
    <x v="1"/>
    <n v="3"/>
    <n v="80"/>
    <x v="1"/>
    <n v="3"/>
    <x v="1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s v="Yes"/>
    <n v="20"/>
    <x v="1"/>
    <n v="1"/>
    <n v="80"/>
    <x v="3"/>
    <n v="20"/>
    <x v="5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s v="No"/>
    <n v="13"/>
    <x v="0"/>
    <n v="1"/>
    <n v="80"/>
    <x v="0"/>
    <n v="5"/>
    <x v="5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s v="Yes"/>
    <n v="14"/>
    <x v="0"/>
    <n v="2"/>
    <n v="80"/>
    <x v="0"/>
    <n v="23"/>
    <x v="1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s v="No"/>
    <n v="16"/>
    <x v="0"/>
    <n v="3"/>
    <n v="80"/>
    <x v="0"/>
    <n v="0"/>
    <x v="5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s v="No"/>
    <n v="17"/>
    <x v="0"/>
    <n v="3"/>
    <n v="80"/>
    <x v="0"/>
    <n v="2"/>
    <x v="5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s v="Yes"/>
    <n v="15"/>
    <x v="0"/>
    <n v="4"/>
    <n v="80"/>
    <x v="2"/>
    <n v="4"/>
    <x v="1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s v="No"/>
    <n v="22"/>
    <x v="1"/>
    <n v="2"/>
    <n v="80"/>
    <x v="3"/>
    <n v="10"/>
    <x v="1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s v="Yes"/>
    <n v="22"/>
    <x v="1"/>
    <n v="4"/>
    <n v="80"/>
    <x v="1"/>
    <n v="15"/>
    <x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s v="No"/>
    <n v="20"/>
    <x v="1"/>
    <n v="3"/>
    <n v="80"/>
    <x v="1"/>
    <n v="7"/>
    <x v="3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s v="Yes"/>
    <n v="14"/>
    <x v="0"/>
    <n v="3"/>
    <n v="80"/>
    <x v="0"/>
    <n v="6"/>
    <x v="1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s v="No"/>
    <n v="13"/>
    <x v="0"/>
    <n v="2"/>
    <n v="80"/>
    <x v="0"/>
    <n v="11"/>
    <x v="1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s v="No"/>
    <n v="13"/>
    <x v="0"/>
    <n v="3"/>
    <n v="80"/>
    <x v="0"/>
    <n v="4"/>
    <x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s v="No"/>
    <n v="22"/>
    <x v="1"/>
    <n v="2"/>
    <n v="80"/>
    <x v="3"/>
    <n v="10"/>
    <x v="4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s v="No"/>
    <n v="12"/>
    <x v="0"/>
    <n v="3"/>
    <n v="80"/>
    <x v="0"/>
    <n v="7"/>
    <x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s v="No"/>
    <n v="14"/>
    <x v="0"/>
    <n v="3"/>
    <n v="80"/>
    <x v="1"/>
    <n v="12"/>
    <x v="5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s v="No"/>
    <n v="15"/>
    <x v="0"/>
    <n v="2"/>
    <n v="80"/>
    <x v="1"/>
    <n v="3"/>
    <x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s v="No"/>
    <n v="17"/>
    <x v="0"/>
    <n v="4"/>
    <n v="80"/>
    <x v="3"/>
    <n v="11"/>
    <x v="1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s v="No"/>
    <n v="13"/>
    <x v="0"/>
    <n v="4"/>
    <n v="80"/>
    <x v="0"/>
    <n v="8"/>
    <x v="1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s v="Yes"/>
    <n v="12"/>
    <x v="0"/>
    <n v="3"/>
    <n v="80"/>
    <x v="0"/>
    <n v="7"/>
    <x v="1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s v="No"/>
    <n v="12"/>
    <x v="0"/>
    <n v="4"/>
    <n v="80"/>
    <x v="1"/>
    <n v="25"/>
    <x v="3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s v="No"/>
    <n v="21"/>
    <x v="1"/>
    <n v="4"/>
    <n v="80"/>
    <x v="1"/>
    <n v="9"/>
    <x v="3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s v="No"/>
    <n v="11"/>
    <x v="0"/>
    <n v="4"/>
    <n v="80"/>
    <x v="0"/>
    <n v="1"/>
    <x v="1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s v="No"/>
    <n v="13"/>
    <x v="0"/>
    <n v="4"/>
    <n v="80"/>
    <x v="0"/>
    <n v="21"/>
    <x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s v="No"/>
    <n v="12"/>
    <x v="0"/>
    <n v="4"/>
    <n v="80"/>
    <x v="0"/>
    <n v="29"/>
    <x v="1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s v="Yes"/>
    <n v="24"/>
    <x v="1"/>
    <n v="2"/>
    <n v="80"/>
    <x v="0"/>
    <n v="1"/>
    <x v="1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s v="No"/>
    <n v="21"/>
    <x v="1"/>
    <n v="3"/>
    <n v="80"/>
    <x v="2"/>
    <n v="14"/>
    <x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s v="No"/>
    <n v="19"/>
    <x v="0"/>
    <n v="4"/>
    <n v="80"/>
    <x v="1"/>
    <n v="8"/>
    <x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s v="No"/>
    <n v="14"/>
    <x v="0"/>
    <n v="2"/>
    <n v="80"/>
    <x v="2"/>
    <n v="7"/>
    <x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s v="No"/>
    <n v="20"/>
    <x v="1"/>
    <n v="2"/>
    <n v="80"/>
    <x v="1"/>
    <n v="19"/>
    <x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s v="No"/>
    <n v="19"/>
    <x v="0"/>
    <n v="4"/>
    <n v="80"/>
    <x v="1"/>
    <n v="1"/>
    <x v="1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s v="No"/>
    <n v="13"/>
    <x v="0"/>
    <n v="3"/>
    <n v="80"/>
    <x v="0"/>
    <n v="1"/>
    <x v="1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s v="Yes"/>
    <n v="23"/>
    <x v="1"/>
    <n v="1"/>
    <n v="80"/>
    <x v="0"/>
    <n v="1"/>
    <x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s v="Yes"/>
    <n v="13"/>
    <x v="0"/>
    <n v="1"/>
    <n v="80"/>
    <x v="1"/>
    <n v="10"/>
    <x v="5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s v="No"/>
    <n v="11"/>
    <x v="0"/>
    <n v="1"/>
    <n v="80"/>
    <x v="1"/>
    <n v="10"/>
    <x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s v="Yes"/>
    <n v="13"/>
    <x v="0"/>
    <n v="4"/>
    <n v="80"/>
    <x v="2"/>
    <n v="9"/>
    <x v="1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s v="No"/>
    <n v="14"/>
    <x v="0"/>
    <n v="2"/>
    <n v="80"/>
    <x v="0"/>
    <n v="11"/>
    <x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s v="Yes"/>
    <n v="22"/>
    <x v="1"/>
    <n v="3"/>
    <n v="80"/>
    <x v="1"/>
    <n v="16"/>
    <x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s v="Yes"/>
    <n v="11"/>
    <x v="0"/>
    <n v="4"/>
    <n v="80"/>
    <x v="0"/>
    <n v="4"/>
    <x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s v="No"/>
    <n v="13"/>
    <x v="0"/>
    <n v="4"/>
    <n v="80"/>
    <x v="3"/>
    <n v="10"/>
    <x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s v="No"/>
    <n v="21"/>
    <x v="1"/>
    <n v="4"/>
    <n v="80"/>
    <x v="0"/>
    <n v="10"/>
    <x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s v="No"/>
    <n v="11"/>
    <x v="0"/>
    <n v="1"/>
    <n v="80"/>
    <x v="1"/>
    <n v="22"/>
    <x v="1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s v="Yes"/>
    <n v="13"/>
    <x v="0"/>
    <n v="3"/>
    <n v="80"/>
    <x v="1"/>
    <n v="1"/>
    <x v="1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s v="No"/>
    <n v="14"/>
    <x v="0"/>
    <n v="2"/>
    <n v="80"/>
    <x v="0"/>
    <n v="9"/>
    <x v="3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s v="No"/>
    <n v="11"/>
    <x v="0"/>
    <n v="2"/>
    <n v="80"/>
    <x v="1"/>
    <n v="24"/>
    <x v="1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s v="No"/>
    <n v="15"/>
    <x v="0"/>
    <n v="4"/>
    <n v="80"/>
    <x v="1"/>
    <n v="10"/>
    <x v="3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s v="Yes"/>
    <n v="23"/>
    <x v="1"/>
    <n v="2"/>
    <n v="80"/>
    <x v="1"/>
    <n v="5"/>
    <x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s v="No"/>
    <n v="16"/>
    <x v="0"/>
    <n v="4"/>
    <n v="80"/>
    <x v="0"/>
    <n v="5"/>
    <x v="1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s v="No"/>
    <n v="16"/>
    <x v="0"/>
    <n v="3"/>
    <n v="80"/>
    <x v="3"/>
    <n v="12"/>
    <x v="4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s v="No"/>
    <n v="21"/>
    <x v="1"/>
    <n v="3"/>
    <n v="80"/>
    <x v="1"/>
    <n v="14"/>
    <x v="1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s v="No"/>
    <n v="13"/>
    <x v="0"/>
    <n v="2"/>
    <n v="80"/>
    <x v="1"/>
    <n v="18"/>
    <x v="1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s v="Yes"/>
    <n v="11"/>
    <x v="0"/>
    <n v="4"/>
    <n v="80"/>
    <x v="1"/>
    <n v="8"/>
    <x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s v="Yes"/>
    <n v="12"/>
    <x v="0"/>
    <n v="3"/>
    <n v="80"/>
    <x v="0"/>
    <n v="9"/>
    <x v="1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s v="No"/>
    <n v="12"/>
    <x v="0"/>
    <n v="2"/>
    <n v="80"/>
    <x v="1"/>
    <n v="4"/>
    <x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s v="No"/>
    <n v="18"/>
    <x v="0"/>
    <n v="1"/>
    <n v="80"/>
    <x v="1"/>
    <n v="8"/>
    <x v="1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s v="No"/>
    <n v="12"/>
    <x v="0"/>
    <n v="3"/>
    <n v="80"/>
    <x v="0"/>
    <n v="12"/>
    <x v="1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s v="No"/>
    <n v="14"/>
    <x v="0"/>
    <n v="2"/>
    <n v="80"/>
    <x v="0"/>
    <n v="10"/>
    <x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s v="Yes"/>
    <n v="12"/>
    <x v="0"/>
    <n v="3"/>
    <n v="80"/>
    <x v="1"/>
    <n v="7"/>
    <x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s v="No"/>
    <n v="17"/>
    <x v="0"/>
    <n v="4"/>
    <n v="80"/>
    <x v="0"/>
    <n v="1"/>
    <x v="1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s v="No"/>
    <n v="19"/>
    <x v="0"/>
    <n v="3"/>
    <n v="80"/>
    <x v="1"/>
    <n v="10"/>
    <x v="4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s v="No"/>
    <n v="11"/>
    <x v="0"/>
    <n v="3"/>
    <n v="80"/>
    <x v="1"/>
    <n v="6"/>
    <x v="1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s v="Yes"/>
    <n v="15"/>
    <x v="0"/>
    <n v="2"/>
    <n v="80"/>
    <x v="0"/>
    <n v="16"/>
    <x v="1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s v="Yes"/>
    <n v="11"/>
    <x v="0"/>
    <n v="4"/>
    <n v="80"/>
    <x v="0"/>
    <n v="6"/>
    <x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s v="No"/>
    <n v="18"/>
    <x v="0"/>
    <n v="3"/>
    <n v="80"/>
    <x v="1"/>
    <n v="16"/>
    <x v="5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s v="No"/>
    <n v="16"/>
    <x v="0"/>
    <n v="3"/>
    <n v="80"/>
    <x v="1"/>
    <n v="6"/>
    <x v="1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s v="No"/>
    <n v="25"/>
    <x v="1"/>
    <n v="4"/>
    <n v="80"/>
    <x v="1"/>
    <n v="10"/>
    <x v="1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s v="Yes"/>
    <n v="16"/>
    <x v="0"/>
    <n v="3"/>
    <n v="80"/>
    <x v="1"/>
    <n v="20"/>
    <x v="1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s v="Yes"/>
    <n v="13"/>
    <x v="0"/>
    <n v="3"/>
    <n v="80"/>
    <x v="1"/>
    <n v="29"/>
    <x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s v="Yes"/>
    <n v="14"/>
    <x v="0"/>
    <n v="1"/>
    <n v="80"/>
    <x v="0"/>
    <n v="8"/>
    <x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s v="No"/>
    <n v="19"/>
    <x v="0"/>
    <n v="4"/>
    <n v="80"/>
    <x v="3"/>
    <n v="10"/>
    <x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s v="No"/>
    <n v="15"/>
    <x v="0"/>
    <n v="4"/>
    <n v="80"/>
    <x v="0"/>
    <n v="28"/>
    <x v="1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s v="Yes"/>
    <n v="12"/>
    <x v="0"/>
    <n v="3"/>
    <n v="80"/>
    <x v="3"/>
    <n v="14"/>
    <x v="5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s v="No"/>
    <n v="12"/>
    <x v="0"/>
    <n v="1"/>
    <n v="80"/>
    <x v="0"/>
    <n v="1"/>
    <x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s v="No"/>
    <n v="16"/>
    <x v="0"/>
    <n v="4"/>
    <n v="80"/>
    <x v="1"/>
    <n v="6"/>
    <x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s v="No"/>
    <n v="14"/>
    <x v="0"/>
    <n v="3"/>
    <n v="80"/>
    <x v="0"/>
    <n v="5"/>
    <x v="1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s v="Yes"/>
    <n v="13"/>
    <x v="0"/>
    <n v="4"/>
    <n v="80"/>
    <x v="1"/>
    <n v="4"/>
    <x v="1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s v="No"/>
    <n v="22"/>
    <x v="1"/>
    <n v="2"/>
    <n v="80"/>
    <x v="0"/>
    <n v="5"/>
    <x v="1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s v="No"/>
    <n v="21"/>
    <x v="1"/>
    <n v="1"/>
    <n v="80"/>
    <x v="0"/>
    <n v="14"/>
    <x v="1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s v="No"/>
    <n v="18"/>
    <x v="0"/>
    <n v="3"/>
    <n v="80"/>
    <x v="1"/>
    <n v="9"/>
    <x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s v="No"/>
    <n v="13"/>
    <x v="0"/>
    <n v="4"/>
    <n v="80"/>
    <x v="0"/>
    <n v="8"/>
    <x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s v="No"/>
    <n v="12"/>
    <x v="0"/>
    <n v="1"/>
    <n v="80"/>
    <x v="1"/>
    <n v="6"/>
    <x v="3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s v="No"/>
    <n v="18"/>
    <x v="0"/>
    <n v="2"/>
    <n v="80"/>
    <x v="1"/>
    <n v="9"/>
    <x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s v="No"/>
    <n v="21"/>
    <x v="1"/>
    <n v="2"/>
    <n v="80"/>
    <x v="0"/>
    <n v="10"/>
    <x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s v="No"/>
    <n v="12"/>
    <x v="0"/>
    <n v="1"/>
    <n v="80"/>
    <x v="1"/>
    <n v="6"/>
    <x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s v="No"/>
    <n v="14"/>
    <x v="0"/>
    <n v="1"/>
    <n v="80"/>
    <x v="0"/>
    <n v="20"/>
    <x v="1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s v="Yes"/>
    <n v="11"/>
    <x v="0"/>
    <n v="4"/>
    <n v="80"/>
    <x v="0"/>
    <n v="10"/>
    <x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s v="No"/>
    <n v="14"/>
    <x v="0"/>
    <n v="1"/>
    <n v="80"/>
    <x v="0"/>
    <n v="7"/>
    <x v="3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s v="No"/>
    <n v="24"/>
    <x v="1"/>
    <n v="2"/>
    <n v="80"/>
    <x v="0"/>
    <n v="8"/>
    <x v="4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s v="Yes"/>
    <n v="11"/>
    <x v="0"/>
    <n v="3"/>
    <n v="80"/>
    <x v="0"/>
    <n v="10"/>
    <x v="5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s v="Yes"/>
    <n v="13"/>
    <x v="0"/>
    <n v="2"/>
    <n v="80"/>
    <x v="0"/>
    <n v="15"/>
    <x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s v="No"/>
    <n v="11"/>
    <x v="0"/>
    <n v="3"/>
    <n v="80"/>
    <x v="3"/>
    <n v="9"/>
    <x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s v="No"/>
    <n v="20"/>
    <x v="1"/>
    <n v="3"/>
    <n v="80"/>
    <x v="2"/>
    <n v="9"/>
    <x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s v="No"/>
    <n v="17"/>
    <x v="0"/>
    <n v="2"/>
    <n v="80"/>
    <x v="1"/>
    <n v="10"/>
    <x v="4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s v="Yes"/>
    <n v="11"/>
    <x v="0"/>
    <n v="2"/>
    <n v="80"/>
    <x v="1"/>
    <n v="7"/>
    <x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s v="Yes"/>
    <n v="18"/>
    <x v="0"/>
    <n v="1"/>
    <n v="80"/>
    <x v="1"/>
    <n v="35"/>
    <x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s v="Yes"/>
    <n v="11"/>
    <x v="0"/>
    <n v="3"/>
    <n v="80"/>
    <x v="2"/>
    <n v="1"/>
    <x v="5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s v="No"/>
    <n v="12"/>
    <x v="0"/>
    <n v="1"/>
    <n v="80"/>
    <x v="0"/>
    <n v="21"/>
    <x v="1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s v="No"/>
    <n v="12"/>
    <x v="0"/>
    <n v="4"/>
    <n v="80"/>
    <x v="0"/>
    <n v="20"/>
    <x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s v="No"/>
    <n v="20"/>
    <x v="1"/>
    <n v="3"/>
    <n v="80"/>
    <x v="1"/>
    <n v="13"/>
    <x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s v="Yes"/>
    <n v="19"/>
    <x v="0"/>
    <n v="4"/>
    <n v="80"/>
    <x v="0"/>
    <n v="9"/>
    <x v="1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s v="No"/>
    <n v="12"/>
    <x v="0"/>
    <n v="2"/>
    <n v="80"/>
    <x v="0"/>
    <n v="4"/>
    <x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s v="No"/>
    <n v="13"/>
    <x v="0"/>
    <n v="3"/>
    <n v="80"/>
    <x v="0"/>
    <n v="5"/>
    <x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s v="No"/>
    <n v="11"/>
    <x v="0"/>
    <n v="1"/>
    <n v="80"/>
    <x v="1"/>
    <n v="10"/>
    <x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s v="No"/>
    <n v="14"/>
    <x v="0"/>
    <n v="3"/>
    <n v="80"/>
    <x v="1"/>
    <n v="15"/>
    <x v="5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s v="No"/>
    <n v="14"/>
    <x v="0"/>
    <n v="3"/>
    <n v="80"/>
    <x v="0"/>
    <n v="6"/>
    <x v="1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s v="No"/>
    <n v="13"/>
    <x v="0"/>
    <n v="3"/>
    <n v="80"/>
    <x v="0"/>
    <n v="12"/>
    <x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s v="Yes"/>
    <n v="19"/>
    <x v="0"/>
    <n v="3"/>
    <n v="80"/>
    <x v="1"/>
    <n v="7"/>
    <x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s v="No"/>
    <n v="23"/>
    <x v="1"/>
    <n v="2"/>
    <n v="80"/>
    <x v="0"/>
    <n v="25"/>
    <x v="1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s v="No"/>
    <n v="12"/>
    <x v="0"/>
    <n v="3"/>
    <n v="80"/>
    <x v="2"/>
    <n v="1"/>
    <x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s v="No"/>
    <n v="15"/>
    <x v="0"/>
    <n v="1"/>
    <n v="80"/>
    <x v="3"/>
    <n v="16"/>
    <x v="1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s v="No"/>
    <n v="19"/>
    <x v="0"/>
    <n v="3"/>
    <n v="80"/>
    <x v="1"/>
    <n v="3"/>
    <x v="4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s v="No"/>
    <n v="11"/>
    <x v="0"/>
    <n v="4"/>
    <n v="80"/>
    <x v="1"/>
    <n v="10"/>
    <x v="4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s v="Yes"/>
    <n v="17"/>
    <x v="0"/>
    <n v="3"/>
    <n v="80"/>
    <x v="1"/>
    <n v="9"/>
    <x v="1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s v="No"/>
    <n v="22"/>
    <x v="1"/>
    <n v="1"/>
    <n v="80"/>
    <x v="1"/>
    <n v="12"/>
    <x v="1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s v="No"/>
    <n v="18"/>
    <x v="0"/>
    <n v="1"/>
    <n v="80"/>
    <x v="3"/>
    <n v="14"/>
    <x v="1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s v="Yes"/>
    <n v="11"/>
    <x v="0"/>
    <n v="3"/>
    <n v="80"/>
    <x v="1"/>
    <n v="5"/>
    <x v="1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s v="No"/>
    <n v="12"/>
    <x v="0"/>
    <n v="4"/>
    <n v="80"/>
    <x v="0"/>
    <n v="4"/>
    <x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s v="No"/>
    <n v="19"/>
    <x v="0"/>
    <n v="2"/>
    <n v="80"/>
    <x v="0"/>
    <n v="10"/>
    <x v="3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s v="Yes"/>
    <n v="13"/>
    <x v="0"/>
    <n v="1"/>
    <n v="80"/>
    <x v="1"/>
    <n v="10"/>
    <x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s v="No"/>
    <n v="13"/>
    <x v="0"/>
    <n v="3"/>
    <n v="80"/>
    <x v="0"/>
    <n v="6"/>
    <x v="1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s v="No"/>
    <n v="19"/>
    <x v="0"/>
    <n v="3"/>
    <n v="80"/>
    <x v="3"/>
    <n v="8"/>
    <x v="1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s v="No"/>
    <n v="14"/>
    <x v="0"/>
    <n v="2"/>
    <n v="80"/>
    <x v="1"/>
    <n v="3"/>
    <x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s v="No"/>
    <n v="13"/>
    <x v="0"/>
    <n v="1"/>
    <n v="80"/>
    <x v="0"/>
    <n v="18"/>
    <x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s v="No"/>
    <n v="12"/>
    <x v="0"/>
    <n v="1"/>
    <n v="80"/>
    <x v="1"/>
    <n v="20"/>
    <x v="1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s v="No"/>
    <n v="19"/>
    <x v="0"/>
    <n v="3"/>
    <n v="80"/>
    <x v="3"/>
    <n v="14"/>
    <x v="1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s v="Yes"/>
    <n v="25"/>
    <x v="1"/>
    <n v="1"/>
    <n v="80"/>
    <x v="1"/>
    <n v="16"/>
    <x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s v="Yes"/>
    <n v="22"/>
    <x v="1"/>
    <n v="2"/>
    <n v="80"/>
    <x v="1"/>
    <n v="6"/>
    <x v="1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s v="No"/>
    <n v="15"/>
    <x v="0"/>
    <n v="2"/>
    <n v="80"/>
    <x v="3"/>
    <n v="16"/>
    <x v="1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s v="Yes"/>
    <n v="12"/>
    <x v="0"/>
    <n v="3"/>
    <n v="80"/>
    <x v="0"/>
    <n v="6"/>
    <x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s v="Yes"/>
    <n v="11"/>
    <x v="0"/>
    <n v="4"/>
    <n v="80"/>
    <x v="0"/>
    <n v="2"/>
    <x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s v="No"/>
    <n v="13"/>
    <x v="0"/>
    <n v="3"/>
    <n v="80"/>
    <x v="0"/>
    <n v="21"/>
    <x v="1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s v="No"/>
    <n v="19"/>
    <x v="0"/>
    <n v="1"/>
    <n v="80"/>
    <x v="1"/>
    <n v="1"/>
    <x v="1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s v="No"/>
    <n v="19"/>
    <x v="0"/>
    <n v="3"/>
    <n v="80"/>
    <x v="3"/>
    <n v="10"/>
    <x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s v="No"/>
    <n v="13"/>
    <x v="0"/>
    <n v="2"/>
    <n v="80"/>
    <x v="2"/>
    <n v="18"/>
    <x v="1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s v="No"/>
    <n v="21"/>
    <x v="1"/>
    <n v="1"/>
    <n v="80"/>
    <x v="1"/>
    <n v="13"/>
    <x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s v="Yes"/>
    <n v="14"/>
    <x v="0"/>
    <n v="2"/>
    <n v="80"/>
    <x v="2"/>
    <n v="4"/>
    <x v="1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s v="No"/>
    <n v="11"/>
    <x v="0"/>
    <n v="1"/>
    <n v="80"/>
    <x v="0"/>
    <n v="24"/>
    <x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s v="No"/>
    <n v="11"/>
    <x v="0"/>
    <n v="4"/>
    <n v="80"/>
    <x v="1"/>
    <n v="14"/>
    <x v="5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s v="No"/>
    <n v="23"/>
    <x v="1"/>
    <n v="3"/>
    <n v="80"/>
    <x v="1"/>
    <n v="21"/>
    <x v="1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s v="No"/>
    <n v="21"/>
    <x v="1"/>
    <n v="4"/>
    <n v="80"/>
    <x v="3"/>
    <n v="8"/>
    <x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s v="No"/>
    <n v="24"/>
    <x v="1"/>
    <n v="1"/>
    <n v="80"/>
    <x v="1"/>
    <n v="15"/>
    <x v="5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s v="No"/>
    <n v="11"/>
    <x v="0"/>
    <n v="3"/>
    <n v="80"/>
    <x v="1"/>
    <n v="14"/>
    <x v="3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s v="No"/>
    <n v="14"/>
    <x v="0"/>
    <n v="4"/>
    <n v="80"/>
    <x v="0"/>
    <n v="4"/>
    <x v="5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s v="Yes"/>
    <n v="16"/>
    <x v="0"/>
    <n v="3"/>
    <n v="80"/>
    <x v="0"/>
    <n v="9"/>
    <x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s v="No"/>
    <n v="11"/>
    <x v="0"/>
    <n v="3"/>
    <n v="80"/>
    <x v="1"/>
    <n v="10"/>
    <x v="4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s v="No"/>
    <n v="12"/>
    <x v="0"/>
    <n v="4"/>
    <n v="80"/>
    <x v="3"/>
    <n v="12"/>
    <x v="1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s v="No"/>
    <n v="13"/>
    <x v="0"/>
    <n v="1"/>
    <n v="80"/>
    <x v="1"/>
    <n v="8"/>
    <x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s v="No"/>
    <n v="15"/>
    <x v="0"/>
    <n v="3"/>
    <n v="80"/>
    <x v="0"/>
    <n v="8"/>
    <x v="1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s v="No"/>
    <n v="14"/>
    <x v="0"/>
    <n v="4"/>
    <n v="80"/>
    <x v="0"/>
    <n v="8"/>
    <x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s v="Yes"/>
    <n v="14"/>
    <x v="0"/>
    <n v="4"/>
    <n v="80"/>
    <x v="3"/>
    <n v="10"/>
    <x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s v="No"/>
    <n v="14"/>
    <x v="0"/>
    <n v="2"/>
    <n v="80"/>
    <x v="2"/>
    <n v="20"/>
    <x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s v="No"/>
    <n v="12"/>
    <x v="0"/>
    <n v="4"/>
    <n v="80"/>
    <x v="1"/>
    <n v="4"/>
    <x v="3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s v="Yes"/>
    <n v="13"/>
    <x v="0"/>
    <n v="1"/>
    <n v="80"/>
    <x v="1"/>
    <n v="10"/>
    <x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s v="No"/>
    <n v="14"/>
    <x v="0"/>
    <n v="2"/>
    <n v="80"/>
    <x v="0"/>
    <n v="5"/>
    <x v="1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s v="Yes"/>
    <n v="13"/>
    <x v="0"/>
    <n v="2"/>
    <n v="80"/>
    <x v="1"/>
    <n v="20"/>
    <x v="1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s v="No"/>
    <n v="11"/>
    <x v="0"/>
    <n v="1"/>
    <n v="80"/>
    <x v="1"/>
    <n v="21"/>
    <x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s v="No"/>
    <n v="19"/>
    <x v="0"/>
    <n v="2"/>
    <n v="80"/>
    <x v="0"/>
    <n v="10"/>
    <x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s v="No"/>
    <n v="18"/>
    <x v="0"/>
    <n v="4"/>
    <n v="80"/>
    <x v="0"/>
    <n v="5"/>
    <x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s v="No"/>
    <n v="17"/>
    <x v="0"/>
    <n v="3"/>
    <n v="80"/>
    <x v="1"/>
    <n v="17"/>
    <x v="1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s v="No"/>
    <n v="15"/>
    <x v="0"/>
    <n v="1"/>
    <n v="80"/>
    <x v="1"/>
    <n v="9"/>
    <x v="3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s v="Yes"/>
    <n v="20"/>
    <x v="1"/>
    <n v="2"/>
    <n v="80"/>
    <x v="1"/>
    <n v="6"/>
    <x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s v="No"/>
    <n v="14"/>
    <x v="0"/>
    <n v="4"/>
    <n v="80"/>
    <x v="0"/>
    <n v="17"/>
    <x v="1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s v="No"/>
    <n v="12"/>
    <x v="0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465C1-0800-495F-B283-1F8F1F63F3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21:H25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6FEAE-C37E-4940-B78C-A8CF44C8C4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">
  <location ref="A14:B24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56E87-B989-4244-B9C1-E80ADD57C7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9C316-1716-4D18-9D04-91F35C279E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35"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1" item="1" hier="-1"/>
  </pageFields>
  <dataFields count="1">
    <dataField name="Average of MonthlyIncome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F2295-8742-49AC-80A9-7BC52D540B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PerformanceRating" fld="24" subtotal="count" baseField="2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30E3A-9E6D-414D-9EE2-D9E3419A4D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2231-C6E5-496F-A101-BBFF4E28DF0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11178-EED3-4E35-A9C8-7A37C28410C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429F2-D3D2-43C3-8C8B-5C32CC730FE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98EC5-BFFF-4FE3-AE87-FAE32229711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2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08F2-BA5D-4D41-92A7-992EA9794355}">
  <dimension ref="A3:I25"/>
  <sheetViews>
    <sheetView tabSelected="1" workbookViewId="0">
      <selection activeCell="D15" sqref="D15"/>
    </sheetView>
  </sheetViews>
  <sheetFormatPr defaultRowHeight="14.4" x14ac:dyDescent="0.3"/>
  <cols>
    <col min="1" max="1" width="21.44140625" bestFit="1" customWidth="1"/>
    <col min="2" max="2" width="22.88671875" bestFit="1" customWidth="1"/>
    <col min="3" max="3" width="4" bestFit="1" customWidth="1"/>
    <col min="4" max="4" width="22.6640625" bestFit="1" customWidth="1"/>
    <col min="5" max="5" width="15.109375" bestFit="1" customWidth="1"/>
    <col min="6" max="6" width="15.5546875" bestFit="1" customWidth="1"/>
    <col min="7" max="7" width="4" bestFit="1" customWidth="1"/>
    <col min="8" max="8" width="10.5546875" bestFit="1" customWidth="1"/>
    <col min="9" max="9" width="14.109375" bestFit="1" customWidth="1"/>
  </cols>
  <sheetData>
    <row r="3" spans="1:5" x14ac:dyDescent="0.3">
      <c r="A3" s="1" t="s">
        <v>67</v>
      </c>
      <c r="B3" s="1" t="s">
        <v>66</v>
      </c>
      <c r="E3" s="4" t="s">
        <v>69</v>
      </c>
    </row>
    <row r="4" spans="1:5" x14ac:dyDescent="0.3">
      <c r="A4" s="1" t="s">
        <v>68</v>
      </c>
      <c r="B4" t="s">
        <v>43</v>
      </c>
      <c r="C4" t="s">
        <v>35</v>
      </c>
      <c r="D4" t="s">
        <v>65</v>
      </c>
      <c r="E4" s="4"/>
    </row>
    <row r="5" spans="1:5" x14ac:dyDescent="0.3">
      <c r="A5" s="2" t="s">
        <v>61</v>
      </c>
      <c r="B5">
        <v>51</v>
      </c>
      <c r="C5">
        <v>12</v>
      </c>
      <c r="D5">
        <v>63</v>
      </c>
      <c r="E5" s="3">
        <f>C5/D5</f>
        <v>0.19047619047619047</v>
      </c>
    </row>
    <row r="6" spans="1:5" x14ac:dyDescent="0.3">
      <c r="A6" s="2" t="s">
        <v>45</v>
      </c>
      <c r="B6">
        <v>828</v>
      </c>
      <c r="C6">
        <v>133</v>
      </c>
      <c r="D6">
        <v>961</v>
      </c>
      <c r="E6" s="3">
        <f t="shared" ref="E6:E7" si="0">C6/D6</f>
        <v>0.13839750260145681</v>
      </c>
    </row>
    <row r="7" spans="1:5" x14ac:dyDescent="0.3">
      <c r="A7" s="2" t="s">
        <v>37</v>
      </c>
      <c r="B7">
        <v>354</v>
      </c>
      <c r="C7">
        <v>92</v>
      </c>
      <c r="D7">
        <v>446</v>
      </c>
      <c r="E7" s="3">
        <f t="shared" si="0"/>
        <v>0.20627802690582961</v>
      </c>
    </row>
    <row r="8" spans="1:5" x14ac:dyDescent="0.3">
      <c r="A8" s="2" t="s">
        <v>65</v>
      </c>
      <c r="B8">
        <v>1233</v>
      </c>
      <c r="C8">
        <v>237</v>
      </c>
      <c r="D8">
        <v>1470</v>
      </c>
      <c r="E8" s="3"/>
    </row>
    <row r="14" spans="1:5" x14ac:dyDescent="0.3">
      <c r="A14" s="1" t="s">
        <v>72</v>
      </c>
      <c r="B14" t="s">
        <v>71</v>
      </c>
    </row>
    <row r="15" spans="1:5" x14ac:dyDescent="0.3">
      <c r="A15" s="2" t="s">
        <v>54</v>
      </c>
      <c r="B15">
        <v>2.7862595419847329</v>
      </c>
    </row>
    <row r="16" spans="1:5" x14ac:dyDescent="0.3">
      <c r="A16" s="2" t="s">
        <v>61</v>
      </c>
      <c r="B16">
        <v>2.5576923076923075</v>
      </c>
    </row>
    <row r="17" spans="1:9" x14ac:dyDescent="0.3">
      <c r="A17" s="2" t="s">
        <v>50</v>
      </c>
      <c r="B17">
        <v>2.6911196911196913</v>
      </c>
    </row>
    <row r="18" spans="1:9" x14ac:dyDescent="0.3">
      <c r="A18" s="2" t="s">
        <v>56</v>
      </c>
      <c r="B18">
        <v>2.7058823529411766</v>
      </c>
    </row>
    <row r="19" spans="1:9" x14ac:dyDescent="0.3">
      <c r="A19" s="2" t="s">
        <v>53</v>
      </c>
      <c r="B19">
        <v>2.682758620689655</v>
      </c>
    </row>
    <row r="20" spans="1:9" x14ac:dyDescent="0.3">
      <c r="A20" s="2" t="s">
        <v>58</v>
      </c>
      <c r="B20">
        <v>2.7</v>
      </c>
    </row>
    <row r="21" spans="1:9" x14ac:dyDescent="0.3">
      <c r="A21" s="2" t="s">
        <v>47</v>
      </c>
      <c r="B21">
        <v>2.7739726027397262</v>
      </c>
      <c r="E21" s="1" t="s">
        <v>67</v>
      </c>
      <c r="F21" s="1" t="s">
        <v>66</v>
      </c>
      <c r="I21" s="4"/>
    </row>
    <row r="22" spans="1:9" x14ac:dyDescent="0.3">
      <c r="A22" s="2" t="s">
        <v>40</v>
      </c>
      <c r="B22">
        <v>2.7546012269938651</v>
      </c>
      <c r="E22" s="1" t="s">
        <v>11</v>
      </c>
      <c r="F22" t="s">
        <v>43</v>
      </c>
      <c r="G22" t="s">
        <v>35</v>
      </c>
      <c r="H22" t="s">
        <v>65</v>
      </c>
      <c r="I22" s="4" t="s">
        <v>73</v>
      </c>
    </row>
    <row r="23" spans="1:9" x14ac:dyDescent="0.3">
      <c r="A23" s="2" t="s">
        <v>57</v>
      </c>
      <c r="B23">
        <v>2.7349397590361444</v>
      </c>
      <c r="E23" s="2" t="s">
        <v>39</v>
      </c>
      <c r="F23">
        <v>501</v>
      </c>
      <c r="G23">
        <v>87</v>
      </c>
      <c r="H23">
        <v>588</v>
      </c>
      <c r="I23" s="3">
        <f>GETPIVOTDATA("Attrition",$E$21,"Attrition","Yes","Gender","Female")/GETPIVOTDATA("Attrition",$E$21,"Gender","Female")</f>
        <v>0.14795918367346939</v>
      </c>
    </row>
    <row r="24" spans="1:9" x14ac:dyDescent="0.3">
      <c r="A24" s="2" t="s">
        <v>65</v>
      </c>
      <c r="B24">
        <v>2.7285714285714286</v>
      </c>
      <c r="E24" s="2" t="s">
        <v>46</v>
      </c>
      <c r="F24">
        <v>732</v>
      </c>
      <c r="G24">
        <v>150</v>
      </c>
      <c r="H24">
        <v>882</v>
      </c>
      <c r="I24" s="3">
        <f>GETPIVOTDATA("Attrition",$E$21,"Attrition","Yes","Gender","Male")/GETPIVOTDATA("Attrition",$E$21,"Gender","Male")</f>
        <v>0.17006802721088435</v>
      </c>
    </row>
    <row r="25" spans="1:9" x14ac:dyDescent="0.3">
      <c r="E25" s="2" t="s">
        <v>65</v>
      </c>
      <c r="F25">
        <v>1233</v>
      </c>
      <c r="G25">
        <v>237</v>
      </c>
      <c r="H25">
        <v>1470</v>
      </c>
      <c r="I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F536-68E9-4244-89E6-8C04416FFEB9}">
  <dimension ref="A1:B4"/>
  <sheetViews>
    <sheetView workbookViewId="0">
      <selection activeCell="E17" sqref="E17"/>
    </sheetView>
  </sheetViews>
  <sheetFormatPr defaultRowHeight="14.4" x14ac:dyDescent="0.3"/>
  <cols>
    <col min="1" max="1" width="22.88671875" bestFit="1" customWidth="1"/>
    <col min="2" max="2" width="6.109375" bestFit="1" customWidth="1"/>
  </cols>
  <sheetData>
    <row r="1" spans="1:2" x14ac:dyDescent="0.3">
      <c r="A1" s="1" t="s">
        <v>1</v>
      </c>
      <c r="B1" t="s">
        <v>35</v>
      </c>
    </row>
    <row r="3" spans="1:2" x14ac:dyDescent="0.3">
      <c r="A3" t="s">
        <v>74</v>
      </c>
    </row>
    <row r="4" spans="1:2" x14ac:dyDescent="0.3">
      <c r="A4">
        <v>4787.0928270042195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3A4-4CCD-4CA5-B209-692635ECFF44}">
  <dimension ref="A1:C1471"/>
  <sheetViews>
    <sheetView workbookViewId="0">
      <selection sqref="A1:C1"/>
    </sheetView>
  </sheetViews>
  <sheetFormatPr defaultRowHeight="14.4" x14ac:dyDescent="0.3"/>
  <cols>
    <col min="1" max="1" width="17.44140625" style="5" bestFit="1" customWidth="1"/>
    <col min="2" max="2" width="7.88671875" style="5" bestFit="1" customWidth="1"/>
    <col min="3" max="3" width="14.6640625" style="5" bestFit="1" customWidth="1"/>
  </cols>
  <sheetData>
    <row r="1" spans="1:3" ht="15.6" x14ac:dyDescent="0.3">
      <c r="A1" s="17" t="s">
        <v>5</v>
      </c>
      <c r="B1" s="17" t="s">
        <v>1</v>
      </c>
      <c r="C1" s="17" t="s">
        <v>75</v>
      </c>
    </row>
    <row r="2" spans="1:3" x14ac:dyDescent="0.3">
      <c r="A2" s="5">
        <v>1</v>
      </c>
      <c r="B2" s="5" t="s">
        <v>35</v>
      </c>
      <c r="C2" s="5">
        <f>IF(B2="Yes",1,0)</f>
        <v>1</v>
      </c>
    </row>
    <row r="3" spans="1:3" x14ac:dyDescent="0.3">
      <c r="A3" s="5">
        <v>8</v>
      </c>
      <c r="B3" s="5" t="s">
        <v>43</v>
      </c>
      <c r="C3" s="5">
        <f t="shared" ref="C3:C66" si="0">IF(B3="Yes",1,0)</f>
        <v>0</v>
      </c>
    </row>
    <row r="4" spans="1:3" x14ac:dyDescent="0.3">
      <c r="A4" s="5">
        <v>2</v>
      </c>
      <c r="B4" s="5" t="s">
        <v>35</v>
      </c>
      <c r="C4" s="5">
        <f t="shared" si="0"/>
        <v>1</v>
      </c>
    </row>
    <row r="5" spans="1:3" x14ac:dyDescent="0.3">
      <c r="A5" s="5">
        <v>3</v>
      </c>
      <c r="B5" s="5" t="s">
        <v>43</v>
      </c>
      <c r="C5" s="5">
        <f t="shared" si="0"/>
        <v>0</v>
      </c>
    </row>
    <row r="6" spans="1:3" x14ac:dyDescent="0.3">
      <c r="A6" s="5">
        <v>2</v>
      </c>
      <c r="B6" s="5" t="s">
        <v>43</v>
      </c>
      <c r="C6" s="5">
        <f t="shared" si="0"/>
        <v>0</v>
      </c>
    </row>
    <row r="7" spans="1:3" x14ac:dyDescent="0.3">
      <c r="A7" s="5">
        <v>2</v>
      </c>
      <c r="B7" s="5" t="s">
        <v>43</v>
      </c>
      <c r="C7" s="5">
        <f t="shared" si="0"/>
        <v>0</v>
      </c>
    </row>
    <row r="8" spans="1:3" x14ac:dyDescent="0.3">
      <c r="A8" s="5">
        <v>3</v>
      </c>
      <c r="B8" s="5" t="s">
        <v>43</v>
      </c>
      <c r="C8" s="5">
        <f t="shared" si="0"/>
        <v>0</v>
      </c>
    </row>
    <row r="9" spans="1:3" x14ac:dyDescent="0.3">
      <c r="A9" s="5">
        <v>24</v>
      </c>
      <c r="B9" s="5" t="s">
        <v>43</v>
      </c>
      <c r="C9" s="5">
        <f t="shared" si="0"/>
        <v>0</v>
      </c>
    </row>
    <row r="10" spans="1:3" x14ac:dyDescent="0.3">
      <c r="A10" s="5">
        <v>23</v>
      </c>
      <c r="B10" s="5" t="s">
        <v>43</v>
      </c>
      <c r="C10" s="5">
        <f t="shared" si="0"/>
        <v>0</v>
      </c>
    </row>
    <row r="11" spans="1:3" x14ac:dyDescent="0.3">
      <c r="A11" s="5">
        <v>27</v>
      </c>
      <c r="B11" s="5" t="s">
        <v>43</v>
      </c>
      <c r="C11" s="5">
        <f t="shared" si="0"/>
        <v>0</v>
      </c>
    </row>
    <row r="12" spans="1:3" x14ac:dyDescent="0.3">
      <c r="A12" s="5">
        <v>16</v>
      </c>
      <c r="B12" s="5" t="s">
        <v>43</v>
      </c>
      <c r="C12" s="5">
        <f t="shared" si="0"/>
        <v>0</v>
      </c>
    </row>
    <row r="13" spans="1:3" x14ac:dyDescent="0.3">
      <c r="A13" s="5">
        <v>15</v>
      </c>
      <c r="B13" s="5" t="s">
        <v>43</v>
      </c>
      <c r="C13" s="5">
        <f t="shared" si="0"/>
        <v>0</v>
      </c>
    </row>
    <row r="14" spans="1:3" x14ac:dyDescent="0.3">
      <c r="A14" s="5">
        <v>26</v>
      </c>
      <c r="B14" s="5" t="s">
        <v>43</v>
      </c>
      <c r="C14" s="5">
        <f t="shared" si="0"/>
        <v>0</v>
      </c>
    </row>
    <row r="15" spans="1:3" x14ac:dyDescent="0.3">
      <c r="A15" s="5">
        <v>19</v>
      </c>
      <c r="B15" s="5" t="s">
        <v>43</v>
      </c>
      <c r="C15" s="5">
        <f t="shared" si="0"/>
        <v>0</v>
      </c>
    </row>
    <row r="16" spans="1:3" x14ac:dyDescent="0.3">
      <c r="A16" s="5">
        <v>24</v>
      </c>
      <c r="B16" s="5" t="s">
        <v>35</v>
      </c>
      <c r="C16" s="5">
        <f t="shared" si="0"/>
        <v>1</v>
      </c>
    </row>
    <row r="17" spans="1:3" x14ac:dyDescent="0.3">
      <c r="A17" s="5">
        <v>21</v>
      </c>
      <c r="B17" s="5" t="s">
        <v>43</v>
      </c>
      <c r="C17" s="5">
        <f t="shared" si="0"/>
        <v>0</v>
      </c>
    </row>
    <row r="18" spans="1:3" x14ac:dyDescent="0.3">
      <c r="A18" s="5">
        <v>5</v>
      </c>
      <c r="B18" s="5" t="s">
        <v>43</v>
      </c>
      <c r="C18" s="5">
        <f t="shared" si="0"/>
        <v>0</v>
      </c>
    </row>
    <row r="19" spans="1:3" x14ac:dyDescent="0.3">
      <c r="A19" s="5">
        <v>16</v>
      </c>
      <c r="B19" s="5" t="s">
        <v>43</v>
      </c>
      <c r="C19" s="5">
        <f t="shared" si="0"/>
        <v>0</v>
      </c>
    </row>
    <row r="20" spans="1:3" x14ac:dyDescent="0.3">
      <c r="A20" s="5">
        <v>2</v>
      </c>
      <c r="B20" s="5" t="s">
        <v>43</v>
      </c>
      <c r="C20" s="5">
        <f t="shared" si="0"/>
        <v>0</v>
      </c>
    </row>
    <row r="21" spans="1:3" x14ac:dyDescent="0.3">
      <c r="A21" s="5">
        <v>2</v>
      </c>
      <c r="B21" s="5" t="s">
        <v>43</v>
      </c>
      <c r="C21" s="5">
        <f t="shared" si="0"/>
        <v>0</v>
      </c>
    </row>
    <row r="22" spans="1:3" x14ac:dyDescent="0.3">
      <c r="A22" s="5">
        <v>11</v>
      </c>
      <c r="B22" s="5" t="s">
        <v>43</v>
      </c>
      <c r="C22" s="5">
        <f t="shared" si="0"/>
        <v>0</v>
      </c>
    </row>
    <row r="23" spans="1:3" x14ac:dyDescent="0.3">
      <c r="A23" s="5">
        <v>9</v>
      </c>
      <c r="B23" s="5" t="s">
        <v>35</v>
      </c>
      <c r="C23" s="5">
        <f t="shared" si="0"/>
        <v>1</v>
      </c>
    </row>
    <row r="24" spans="1:3" x14ac:dyDescent="0.3">
      <c r="A24" s="5">
        <v>7</v>
      </c>
      <c r="B24" s="5" t="s">
        <v>43</v>
      </c>
      <c r="C24" s="5">
        <f t="shared" si="0"/>
        <v>0</v>
      </c>
    </row>
    <row r="25" spans="1:3" x14ac:dyDescent="0.3">
      <c r="A25" s="5">
        <v>15</v>
      </c>
      <c r="B25" s="5" t="s">
        <v>43</v>
      </c>
      <c r="C25" s="5">
        <f t="shared" si="0"/>
        <v>0</v>
      </c>
    </row>
    <row r="26" spans="1:3" x14ac:dyDescent="0.3">
      <c r="A26" s="5">
        <v>6</v>
      </c>
      <c r="B26" s="5" t="s">
        <v>35</v>
      </c>
      <c r="C26" s="5">
        <f t="shared" si="0"/>
        <v>1</v>
      </c>
    </row>
    <row r="27" spans="1:3" x14ac:dyDescent="0.3">
      <c r="A27" s="5">
        <v>5</v>
      </c>
      <c r="B27" s="5" t="s">
        <v>43</v>
      </c>
      <c r="C27" s="5">
        <f t="shared" si="0"/>
        <v>0</v>
      </c>
    </row>
    <row r="28" spans="1:3" x14ac:dyDescent="0.3">
      <c r="A28" s="5">
        <v>16</v>
      </c>
      <c r="B28" s="5" t="s">
        <v>35</v>
      </c>
      <c r="C28" s="5">
        <f t="shared" si="0"/>
        <v>1</v>
      </c>
    </row>
    <row r="29" spans="1:3" x14ac:dyDescent="0.3">
      <c r="A29" s="5">
        <v>8</v>
      </c>
      <c r="B29" s="5" t="s">
        <v>43</v>
      </c>
      <c r="C29" s="5">
        <f t="shared" si="0"/>
        <v>0</v>
      </c>
    </row>
    <row r="30" spans="1:3" x14ac:dyDescent="0.3">
      <c r="A30" s="5">
        <v>7</v>
      </c>
      <c r="B30" s="5" t="s">
        <v>43</v>
      </c>
      <c r="C30" s="5">
        <f t="shared" si="0"/>
        <v>0</v>
      </c>
    </row>
    <row r="31" spans="1:3" x14ac:dyDescent="0.3">
      <c r="A31" s="5">
        <v>2</v>
      </c>
      <c r="B31" s="5" t="s">
        <v>43</v>
      </c>
      <c r="C31" s="5">
        <f t="shared" si="0"/>
        <v>0</v>
      </c>
    </row>
    <row r="32" spans="1:3" x14ac:dyDescent="0.3">
      <c r="A32" s="5">
        <v>2</v>
      </c>
      <c r="B32" s="5" t="s">
        <v>43</v>
      </c>
      <c r="C32" s="5">
        <f t="shared" si="0"/>
        <v>0</v>
      </c>
    </row>
    <row r="33" spans="1:3" x14ac:dyDescent="0.3">
      <c r="A33" s="5">
        <v>10</v>
      </c>
      <c r="B33" s="5" t="s">
        <v>43</v>
      </c>
      <c r="C33" s="5">
        <f t="shared" si="0"/>
        <v>0</v>
      </c>
    </row>
    <row r="34" spans="1:3" x14ac:dyDescent="0.3">
      <c r="A34" s="5">
        <v>9</v>
      </c>
      <c r="B34" s="5" t="s">
        <v>43</v>
      </c>
      <c r="C34" s="5">
        <f t="shared" si="0"/>
        <v>0</v>
      </c>
    </row>
    <row r="35" spans="1:3" x14ac:dyDescent="0.3">
      <c r="A35" s="5">
        <v>5</v>
      </c>
      <c r="B35" s="5" t="s">
        <v>35</v>
      </c>
      <c r="C35" s="5">
        <f t="shared" si="0"/>
        <v>1</v>
      </c>
    </row>
    <row r="36" spans="1:3" x14ac:dyDescent="0.3">
      <c r="A36" s="5">
        <v>1</v>
      </c>
      <c r="B36" s="5" t="s">
        <v>35</v>
      </c>
      <c r="C36" s="5">
        <f t="shared" si="0"/>
        <v>1</v>
      </c>
    </row>
    <row r="37" spans="1:3" x14ac:dyDescent="0.3">
      <c r="A37" s="5">
        <v>2</v>
      </c>
      <c r="B37" s="5" t="s">
        <v>43</v>
      </c>
      <c r="C37" s="5">
        <f t="shared" si="0"/>
        <v>0</v>
      </c>
    </row>
    <row r="38" spans="1:3" x14ac:dyDescent="0.3">
      <c r="A38" s="5">
        <v>3</v>
      </c>
      <c r="B38" s="5" t="s">
        <v>35</v>
      </c>
      <c r="C38" s="5">
        <f t="shared" si="0"/>
        <v>1</v>
      </c>
    </row>
    <row r="39" spans="1:3" x14ac:dyDescent="0.3">
      <c r="A39" s="5">
        <v>2</v>
      </c>
      <c r="B39" s="5" t="s">
        <v>43</v>
      </c>
      <c r="C39" s="5">
        <f t="shared" si="0"/>
        <v>0</v>
      </c>
    </row>
    <row r="40" spans="1:3" x14ac:dyDescent="0.3">
      <c r="A40" s="5">
        <v>5</v>
      </c>
      <c r="B40" s="5" t="s">
        <v>43</v>
      </c>
      <c r="C40" s="5">
        <f t="shared" si="0"/>
        <v>0</v>
      </c>
    </row>
    <row r="41" spans="1:3" x14ac:dyDescent="0.3">
      <c r="A41" s="5">
        <v>1</v>
      </c>
      <c r="B41" s="5" t="s">
        <v>43</v>
      </c>
      <c r="C41" s="5">
        <f t="shared" si="0"/>
        <v>0</v>
      </c>
    </row>
    <row r="42" spans="1:3" x14ac:dyDescent="0.3">
      <c r="A42" s="5">
        <v>4</v>
      </c>
      <c r="B42" s="5" t="s">
        <v>43</v>
      </c>
      <c r="C42" s="5">
        <f t="shared" si="0"/>
        <v>0</v>
      </c>
    </row>
    <row r="43" spans="1:3" x14ac:dyDescent="0.3">
      <c r="A43" s="5">
        <v>2</v>
      </c>
      <c r="B43" s="5" t="s">
        <v>43</v>
      </c>
      <c r="C43" s="5">
        <f t="shared" si="0"/>
        <v>0</v>
      </c>
    </row>
    <row r="44" spans="1:3" x14ac:dyDescent="0.3">
      <c r="A44" s="5">
        <v>25</v>
      </c>
      <c r="B44" s="5" t="s">
        <v>35</v>
      </c>
      <c r="C44" s="5">
        <f t="shared" si="0"/>
        <v>1</v>
      </c>
    </row>
    <row r="45" spans="1:3" x14ac:dyDescent="0.3">
      <c r="A45" s="5">
        <v>8</v>
      </c>
      <c r="B45" s="5" t="s">
        <v>43</v>
      </c>
      <c r="C45" s="5">
        <f t="shared" si="0"/>
        <v>0</v>
      </c>
    </row>
    <row r="46" spans="1:3" x14ac:dyDescent="0.3">
      <c r="A46" s="5">
        <v>1</v>
      </c>
      <c r="B46" s="5" t="s">
        <v>43</v>
      </c>
      <c r="C46" s="5">
        <f t="shared" si="0"/>
        <v>0</v>
      </c>
    </row>
    <row r="47" spans="1:3" x14ac:dyDescent="0.3">
      <c r="A47" s="5">
        <v>12</v>
      </c>
      <c r="B47" s="5" t="s">
        <v>35</v>
      </c>
      <c r="C47" s="5">
        <f t="shared" si="0"/>
        <v>1</v>
      </c>
    </row>
    <row r="48" spans="1:3" x14ac:dyDescent="0.3">
      <c r="A48" s="5">
        <v>23</v>
      </c>
      <c r="B48" s="5" t="s">
        <v>43</v>
      </c>
      <c r="C48" s="5">
        <f t="shared" si="0"/>
        <v>0</v>
      </c>
    </row>
    <row r="49" spans="1:3" x14ac:dyDescent="0.3">
      <c r="A49" s="5">
        <v>19</v>
      </c>
      <c r="B49" s="5" t="s">
        <v>43</v>
      </c>
      <c r="C49" s="5">
        <f t="shared" si="0"/>
        <v>0</v>
      </c>
    </row>
    <row r="50" spans="1:3" x14ac:dyDescent="0.3">
      <c r="A50" s="5">
        <v>5</v>
      </c>
      <c r="B50" s="5" t="s">
        <v>43</v>
      </c>
      <c r="C50" s="5">
        <f t="shared" si="0"/>
        <v>0</v>
      </c>
    </row>
    <row r="51" spans="1:3" x14ac:dyDescent="0.3">
      <c r="A51" s="5">
        <v>8</v>
      </c>
      <c r="B51" s="5" t="s">
        <v>43</v>
      </c>
      <c r="C51" s="5">
        <f t="shared" si="0"/>
        <v>0</v>
      </c>
    </row>
    <row r="52" spans="1:3" x14ac:dyDescent="0.3">
      <c r="A52" s="5">
        <v>1</v>
      </c>
      <c r="B52" s="5" t="s">
        <v>35</v>
      </c>
      <c r="C52" s="5">
        <f t="shared" si="0"/>
        <v>1</v>
      </c>
    </row>
    <row r="53" spans="1:3" x14ac:dyDescent="0.3">
      <c r="A53" s="5">
        <v>5</v>
      </c>
      <c r="B53" s="5" t="s">
        <v>35</v>
      </c>
      <c r="C53" s="5">
        <f t="shared" si="0"/>
        <v>1</v>
      </c>
    </row>
    <row r="54" spans="1:3" x14ac:dyDescent="0.3">
      <c r="A54" s="5">
        <v>1</v>
      </c>
      <c r="B54" s="5" t="s">
        <v>43</v>
      </c>
      <c r="C54" s="5">
        <f t="shared" si="0"/>
        <v>0</v>
      </c>
    </row>
    <row r="55" spans="1:3" x14ac:dyDescent="0.3">
      <c r="A55" s="5">
        <v>11</v>
      </c>
      <c r="B55" s="5" t="s">
        <v>43</v>
      </c>
      <c r="C55" s="5">
        <f t="shared" si="0"/>
        <v>0</v>
      </c>
    </row>
    <row r="56" spans="1:3" x14ac:dyDescent="0.3">
      <c r="A56" s="5">
        <v>23</v>
      </c>
      <c r="B56" s="5" t="s">
        <v>43</v>
      </c>
      <c r="C56" s="5">
        <f t="shared" si="0"/>
        <v>0</v>
      </c>
    </row>
    <row r="57" spans="1:3" x14ac:dyDescent="0.3">
      <c r="A57" s="5">
        <v>1</v>
      </c>
      <c r="B57" s="5" t="s">
        <v>43</v>
      </c>
      <c r="C57" s="5">
        <f t="shared" si="0"/>
        <v>0</v>
      </c>
    </row>
    <row r="58" spans="1:3" x14ac:dyDescent="0.3">
      <c r="A58" s="5">
        <v>18</v>
      </c>
      <c r="B58" s="5" t="s">
        <v>43</v>
      </c>
      <c r="C58" s="5">
        <f t="shared" si="0"/>
        <v>0</v>
      </c>
    </row>
    <row r="59" spans="1:3" x14ac:dyDescent="0.3">
      <c r="A59" s="5">
        <v>23</v>
      </c>
      <c r="B59" s="5" t="s">
        <v>43</v>
      </c>
      <c r="C59" s="5">
        <f t="shared" si="0"/>
        <v>0</v>
      </c>
    </row>
    <row r="60" spans="1:3" x14ac:dyDescent="0.3">
      <c r="A60" s="5">
        <v>7</v>
      </c>
      <c r="B60" s="5" t="s">
        <v>43</v>
      </c>
      <c r="C60" s="5">
        <f t="shared" si="0"/>
        <v>0</v>
      </c>
    </row>
    <row r="61" spans="1:3" x14ac:dyDescent="0.3">
      <c r="A61" s="5">
        <v>1</v>
      </c>
      <c r="B61" s="5" t="s">
        <v>43</v>
      </c>
      <c r="C61" s="5">
        <f t="shared" si="0"/>
        <v>0</v>
      </c>
    </row>
    <row r="62" spans="1:3" x14ac:dyDescent="0.3">
      <c r="A62" s="5">
        <v>1</v>
      </c>
      <c r="B62" s="5" t="s">
        <v>43</v>
      </c>
      <c r="C62" s="5">
        <f t="shared" si="0"/>
        <v>0</v>
      </c>
    </row>
    <row r="63" spans="1:3" x14ac:dyDescent="0.3">
      <c r="A63" s="5">
        <v>29</v>
      </c>
      <c r="B63" s="5" t="s">
        <v>43</v>
      </c>
      <c r="C63" s="5">
        <f t="shared" si="0"/>
        <v>0</v>
      </c>
    </row>
    <row r="64" spans="1:3" x14ac:dyDescent="0.3">
      <c r="A64" s="5">
        <v>7</v>
      </c>
      <c r="B64" s="5" t="s">
        <v>43</v>
      </c>
      <c r="C64" s="5">
        <f t="shared" si="0"/>
        <v>0</v>
      </c>
    </row>
    <row r="65" spans="1:3" x14ac:dyDescent="0.3">
      <c r="A65" s="5">
        <v>25</v>
      </c>
      <c r="B65" s="5" t="s">
        <v>43</v>
      </c>
      <c r="C65" s="5">
        <f t="shared" si="0"/>
        <v>0</v>
      </c>
    </row>
    <row r="66" spans="1:3" x14ac:dyDescent="0.3">
      <c r="A66" s="5">
        <v>8</v>
      </c>
      <c r="B66" s="5" t="s">
        <v>43</v>
      </c>
      <c r="C66" s="5">
        <f t="shared" si="0"/>
        <v>0</v>
      </c>
    </row>
    <row r="67" spans="1:3" x14ac:dyDescent="0.3">
      <c r="A67" s="5">
        <v>8</v>
      </c>
      <c r="B67" s="5" t="s">
        <v>43</v>
      </c>
      <c r="C67" s="5">
        <f t="shared" ref="C67:C130" si="1">IF(B67="Yes",1,0)</f>
        <v>0</v>
      </c>
    </row>
    <row r="68" spans="1:3" x14ac:dyDescent="0.3">
      <c r="A68" s="5">
        <v>11</v>
      </c>
      <c r="B68" s="5" t="s">
        <v>43</v>
      </c>
      <c r="C68" s="5">
        <f t="shared" si="1"/>
        <v>0</v>
      </c>
    </row>
    <row r="69" spans="1:3" x14ac:dyDescent="0.3">
      <c r="A69" s="5">
        <v>7</v>
      </c>
      <c r="B69" s="5" t="s">
        <v>43</v>
      </c>
      <c r="C69" s="5">
        <f t="shared" si="1"/>
        <v>0</v>
      </c>
    </row>
    <row r="70" spans="1:3" x14ac:dyDescent="0.3">
      <c r="A70" s="5">
        <v>1</v>
      </c>
      <c r="B70" s="5" t="s">
        <v>43</v>
      </c>
      <c r="C70" s="5">
        <f t="shared" si="1"/>
        <v>0</v>
      </c>
    </row>
    <row r="71" spans="1:3" x14ac:dyDescent="0.3">
      <c r="A71" s="5">
        <v>9</v>
      </c>
      <c r="B71" s="5" t="s">
        <v>35</v>
      </c>
      <c r="C71" s="5">
        <f t="shared" si="1"/>
        <v>1</v>
      </c>
    </row>
    <row r="72" spans="1:3" x14ac:dyDescent="0.3">
      <c r="A72" s="5">
        <v>1</v>
      </c>
      <c r="B72" s="5" t="s">
        <v>43</v>
      </c>
      <c r="C72" s="5">
        <f t="shared" si="1"/>
        <v>0</v>
      </c>
    </row>
    <row r="73" spans="1:3" x14ac:dyDescent="0.3">
      <c r="A73" s="5">
        <v>2</v>
      </c>
      <c r="B73" s="5" t="s">
        <v>43</v>
      </c>
      <c r="C73" s="5">
        <f t="shared" si="1"/>
        <v>0</v>
      </c>
    </row>
    <row r="74" spans="1:3" x14ac:dyDescent="0.3">
      <c r="A74" s="5">
        <v>1</v>
      </c>
      <c r="B74" s="5" t="s">
        <v>43</v>
      </c>
      <c r="C74" s="5">
        <f t="shared" si="1"/>
        <v>0</v>
      </c>
    </row>
    <row r="75" spans="1:3" x14ac:dyDescent="0.3">
      <c r="A75" s="5">
        <v>1</v>
      </c>
      <c r="B75" s="5" t="s">
        <v>43</v>
      </c>
      <c r="C75" s="5">
        <f t="shared" si="1"/>
        <v>0</v>
      </c>
    </row>
    <row r="76" spans="1:3" x14ac:dyDescent="0.3">
      <c r="A76" s="5">
        <v>6</v>
      </c>
      <c r="B76" s="5" t="s">
        <v>43</v>
      </c>
      <c r="C76" s="5">
        <f t="shared" si="1"/>
        <v>0</v>
      </c>
    </row>
    <row r="77" spans="1:3" x14ac:dyDescent="0.3">
      <c r="A77" s="5">
        <v>8</v>
      </c>
      <c r="B77" s="5" t="s">
        <v>43</v>
      </c>
      <c r="C77" s="5">
        <f t="shared" si="1"/>
        <v>0</v>
      </c>
    </row>
    <row r="78" spans="1:3" x14ac:dyDescent="0.3">
      <c r="A78" s="5">
        <v>1</v>
      </c>
      <c r="B78" s="5" t="s">
        <v>43</v>
      </c>
      <c r="C78" s="5">
        <f t="shared" si="1"/>
        <v>0</v>
      </c>
    </row>
    <row r="79" spans="1:3" x14ac:dyDescent="0.3">
      <c r="A79" s="5">
        <v>6</v>
      </c>
      <c r="B79" s="5" t="s">
        <v>43</v>
      </c>
      <c r="C79" s="5">
        <f t="shared" si="1"/>
        <v>0</v>
      </c>
    </row>
    <row r="80" spans="1:3" x14ac:dyDescent="0.3">
      <c r="A80" s="5">
        <v>7</v>
      </c>
      <c r="B80" s="5" t="s">
        <v>43</v>
      </c>
      <c r="C80" s="5">
        <f t="shared" si="1"/>
        <v>0</v>
      </c>
    </row>
    <row r="81" spans="1:3" x14ac:dyDescent="0.3">
      <c r="A81" s="5">
        <v>5</v>
      </c>
      <c r="B81" s="5" t="s">
        <v>43</v>
      </c>
      <c r="C81" s="5">
        <f t="shared" si="1"/>
        <v>0</v>
      </c>
    </row>
    <row r="82" spans="1:3" x14ac:dyDescent="0.3">
      <c r="A82" s="5">
        <v>1</v>
      </c>
      <c r="B82" s="5" t="s">
        <v>43</v>
      </c>
      <c r="C82" s="5">
        <f t="shared" si="1"/>
        <v>0</v>
      </c>
    </row>
    <row r="83" spans="1:3" x14ac:dyDescent="0.3">
      <c r="A83" s="5">
        <v>1</v>
      </c>
      <c r="B83" s="5" t="s">
        <v>43</v>
      </c>
      <c r="C83" s="5">
        <f t="shared" si="1"/>
        <v>0</v>
      </c>
    </row>
    <row r="84" spans="1:3" x14ac:dyDescent="0.3">
      <c r="A84" s="5">
        <v>1</v>
      </c>
      <c r="B84" s="5" t="s">
        <v>43</v>
      </c>
      <c r="C84" s="5">
        <f t="shared" si="1"/>
        <v>0</v>
      </c>
    </row>
    <row r="85" spans="1:3" x14ac:dyDescent="0.3">
      <c r="A85" s="5">
        <v>6</v>
      </c>
      <c r="B85" s="5" t="s">
        <v>43</v>
      </c>
      <c r="C85" s="5">
        <f t="shared" si="1"/>
        <v>0</v>
      </c>
    </row>
    <row r="86" spans="1:3" x14ac:dyDescent="0.3">
      <c r="A86" s="5">
        <v>1</v>
      </c>
      <c r="B86" s="5" t="s">
        <v>43</v>
      </c>
      <c r="C86" s="5">
        <f t="shared" si="1"/>
        <v>0</v>
      </c>
    </row>
    <row r="87" spans="1:3" x14ac:dyDescent="0.3">
      <c r="A87" s="5">
        <v>7</v>
      </c>
      <c r="B87" s="5" t="s">
        <v>43</v>
      </c>
      <c r="C87" s="5">
        <f t="shared" si="1"/>
        <v>0</v>
      </c>
    </row>
    <row r="88" spans="1:3" x14ac:dyDescent="0.3">
      <c r="A88" s="5">
        <v>2</v>
      </c>
      <c r="B88" s="5" t="s">
        <v>43</v>
      </c>
      <c r="C88" s="5">
        <f t="shared" si="1"/>
        <v>0</v>
      </c>
    </row>
    <row r="89" spans="1:3" x14ac:dyDescent="0.3">
      <c r="A89" s="5">
        <v>9</v>
      </c>
      <c r="B89" s="5" t="s">
        <v>43</v>
      </c>
      <c r="C89" s="5">
        <f t="shared" si="1"/>
        <v>0</v>
      </c>
    </row>
    <row r="90" spans="1:3" x14ac:dyDescent="0.3">
      <c r="A90" s="5">
        <v>2</v>
      </c>
      <c r="B90" s="5" t="s">
        <v>43</v>
      </c>
      <c r="C90" s="5">
        <f t="shared" si="1"/>
        <v>0</v>
      </c>
    </row>
    <row r="91" spans="1:3" x14ac:dyDescent="0.3">
      <c r="A91" s="5">
        <v>9</v>
      </c>
      <c r="B91" s="5" t="s">
        <v>35</v>
      </c>
      <c r="C91" s="5">
        <f t="shared" si="1"/>
        <v>1</v>
      </c>
    </row>
    <row r="92" spans="1:3" x14ac:dyDescent="0.3">
      <c r="A92" s="5">
        <v>1</v>
      </c>
      <c r="B92" s="5" t="s">
        <v>43</v>
      </c>
      <c r="C92" s="5">
        <f t="shared" si="1"/>
        <v>0</v>
      </c>
    </row>
    <row r="93" spans="1:3" x14ac:dyDescent="0.3">
      <c r="A93" s="5">
        <v>21</v>
      </c>
      <c r="B93" s="5" t="s">
        <v>43</v>
      </c>
      <c r="C93" s="5">
        <f t="shared" si="1"/>
        <v>0</v>
      </c>
    </row>
    <row r="94" spans="1:3" x14ac:dyDescent="0.3">
      <c r="A94" s="5">
        <v>4</v>
      </c>
      <c r="B94" s="5" t="s">
        <v>43</v>
      </c>
      <c r="C94" s="5">
        <f t="shared" si="1"/>
        <v>0</v>
      </c>
    </row>
    <row r="95" spans="1:3" x14ac:dyDescent="0.3">
      <c r="A95" s="5">
        <v>1</v>
      </c>
      <c r="B95" s="5" t="s">
        <v>43</v>
      </c>
      <c r="C95" s="5">
        <f t="shared" si="1"/>
        <v>0</v>
      </c>
    </row>
    <row r="96" spans="1:3" x14ac:dyDescent="0.3">
      <c r="A96" s="5">
        <v>6</v>
      </c>
      <c r="B96" s="5" t="s">
        <v>43</v>
      </c>
      <c r="C96" s="5">
        <f t="shared" si="1"/>
        <v>0</v>
      </c>
    </row>
    <row r="97" spans="1:3" x14ac:dyDescent="0.3">
      <c r="A97" s="5">
        <v>2</v>
      </c>
      <c r="B97" s="5" t="s">
        <v>43</v>
      </c>
      <c r="C97" s="5">
        <f t="shared" si="1"/>
        <v>0</v>
      </c>
    </row>
    <row r="98" spans="1:3" x14ac:dyDescent="0.3">
      <c r="A98" s="5">
        <v>3</v>
      </c>
      <c r="B98" s="5" t="s">
        <v>43</v>
      </c>
      <c r="C98" s="5">
        <f t="shared" si="1"/>
        <v>0</v>
      </c>
    </row>
    <row r="99" spans="1:3" x14ac:dyDescent="0.3">
      <c r="A99" s="5">
        <v>4</v>
      </c>
      <c r="B99" s="5" t="s">
        <v>43</v>
      </c>
      <c r="C99" s="5">
        <f t="shared" si="1"/>
        <v>0</v>
      </c>
    </row>
    <row r="100" spans="1:3" x14ac:dyDescent="0.3">
      <c r="A100" s="5">
        <v>10</v>
      </c>
      <c r="B100" s="5" t="s">
        <v>43</v>
      </c>
      <c r="C100" s="5">
        <f t="shared" si="1"/>
        <v>0</v>
      </c>
    </row>
    <row r="101" spans="1:3" x14ac:dyDescent="0.3">
      <c r="A101" s="5">
        <v>23</v>
      </c>
      <c r="B101" s="5" t="s">
        <v>43</v>
      </c>
      <c r="C101" s="5">
        <f t="shared" si="1"/>
        <v>0</v>
      </c>
    </row>
    <row r="102" spans="1:3" x14ac:dyDescent="0.3">
      <c r="A102" s="5">
        <v>6</v>
      </c>
      <c r="B102" s="5" t="s">
        <v>35</v>
      </c>
      <c r="C102" s="5">
        <f t="shared" si="1"/>
        <v>1</v>
      </c>
    </row>
    <row r="103" spans="1:3" x14ac:dyDescent="0.3">
      <c r="A103" s="5">
        <v>1</v>
      </c>
      <c r="B103" s="5" t="s">
        <v>43</v>
      </c>
      <c r="C103" s="5">
        <f t="shared" si="1"/>
        <v>0</v>
      </c>
    </row>
    <row r="104" spans="1:3" x14ac:dyDescent="0.3">
      <c r="A104" s="5">
        <v>6</v>
      </c>
      <c r="B104" s="5" t="s">
        <v>35</v>
      </c>
      <c r="C104" s="5">
        <f t="shared" si="1"/>
        <v>1</v>
      </c>
    </row>
    <row r="105" spans="1:3" x14ac:dyDescent="0.3">
      <c r="A105" s="5">
        <v>6</v>
      </c>
      <c r="B105" s="5" t="s">
        <v>43</v>
      </c>
      <c r="C105" s="5">
        <f t="shared" si="1"/>
        <v>0</v>
      </c>
    </row>
    <row r="106" spans="1:3" x14ac:dyDescent="0.3">
      <c r="A106" s="5">
        <v>2</v>
      </c>
      <c r="B106" s="5" t="s">
        <v>43</v>
      </c>
      <c r="C106" s="5">
        <f t="shared" si="1"/>
        <v>0</v>
      </c>
    </row>
    <row r="107" spans="1:3" x14ac:dyDescent="0.3">
      <c r="A107" s="5">
        <v>2</v>
      </c>
      <c r="B107" s="5" t="s">
        <v>43</v>
      </c>
      <c r="C107" s="5">
        <f t="shared" si="1"/>
        <v>0</v>
      </c>
    </row>
    <row r="108" spans="1:3" x14ac:dyDescent="0.3">
      <c r="A108" s="5">
        <v>1</v>
      </c>
      <c r="B108" s="5" t="s">
        <v>43</v>
      </c>
      <c r="C108" s="5">
        <f t="shared" si="1"/>
        <v>0</v>
      </c>
    </row>
    <row r="109" spans="1:3" x14ac:dyDescent="0.3">
      <c r="A109" s="5">
        <v>5</v>
      </c>
      <c r="B109" s="5" t="s">
        <v>35</v>
      </c>
      <c r="C109" s="5">
        <f t="shared" si="1"/>
        <v>1</v>
      </c>
    </row>
    <row r="110" spans="1:3" x14ac:dyDescent="0.3">
      <c r="A110" s="5">
        <v>7</v>
      </c>
      <c r="B110" s="5" t="s">
        <v>43</v>
      </c>
      <c r="C110" s="5">
        <f t="shared" si="1"/>
        <v>0</v>
      </c>
    </row>
    <row r="111" spans="1:3" x14ac:dyDescent="0.3">
      <c r="A111" s="5">
        <v>15</v>
      </c>
      <c r="B111" s="5" t="s">
        <v>43</v>
      </c>
      <c r="C111" s="5">
        <f t="shared" si="1"/>
        <v>0</v>
      </c>
    </row>
    <row r="112" spans="1:3" x14ac:dyDescent="0.3">
      <c r="A112" s="5">
        <v>1</v>
      </c>
      <c r="B112" s="5" t="s">
        <v>43</v>
      </c>
      <c r="C112" s="5">
        <f t="shared" si="1"/>
        <v>0</v>
      </c>
    </row>
    <row r="113" spans="1:3" x14ac:dyDescent="0.3">
      <c r="A113" s="5">
        <v>7</v>
      </c>
      <c r="B113" s="5" t="s">
        <v>35</v>
      </c>
      <c r="C113" s="5">
        <f t="shared" si="1"/>
        <v>1</v>
      </c>
    </row>
    <row r="114" spans="1:3" x14ac:dyDescent="0.3">
      <c r="A114" s="5">
        <v>26</v>
      </c>
      <c r="B114" s="5" t="s">
        <v>43</v>
      </c>
      <c r="C114" s="5">
        <f t="shared" si="1"/>
        <v>0</v>
      </c>
    </row>
    <row r="115" spans="1:3" x14ac:dyDescent="0.3">
      <c r="A115" s="5">
        <v>18</v>
      </c>
      <c r="B115" s="5" t="s">
        <v>43</v>
      </c>
      <c r="C115" s="5">
        <f t="shared" si="1"/>
        <v>0</v>
      </c>
    </row>
    <row r="116" spans="1:3" x14ac:dyDescent="0.3">
      <c r="A116" s="5">
        <v>6</v>
      </c>
      <c r="B116" s="5" t="s">
        <v>43</v>
      </c>
      <c r="C116" s="5">
        <f t="shared" si="1"/>
        <v>0</v>
      </c>
    </row>
    <row r="117" spans="1:3" x14ac:dyDescent="0.3">
      <c r="A117" s="5">
        <v>3</v>
      </c>
      <c r="B117" s="5" t="s">
        <v>43</v>
      </c>
      <c r="C117" s="5">
        <f t="shared" si="1"/>
        <v>0</v>
      </c>
    </row>
    <row r="118" spans="1:3" x14ac:dyDescent="0.3">
      <c r="A118" s="5">
        <v>5</v>
      </c>
      <c r="B118" s="5" t="s">
        <v>43</v>
      </c>
      <c r="C118" s="5">
        <f t="shared" si="1"/>
        <v>0</v>
      </c>
    </row>
    <row r="119" spans="1:3" x14ac:dyDescent="0.3">
      <c r="A119" s="5">
        <v>11</v>
      </c>
      <c r="B119" s="5" t="s">
        <v>43</v>
      </c>
      <c r="C119" s="5">
        <f t="shared" si="1"/>
        <v>0</v>
      </c>
    </row>
    <row r="120" spans="1:3" x14ac:dyDescent="0.3">
      <c r="A120" s="5">
        <v>3</v>
      </c>
      <c r="B120" s="5" t="s">
        <v>43</v>
      </c>
      <c r="C120" s="5">
        <f t="shared" si="1"/>
        <v>0</v>
      </c>
    </row>
    <row r="121" spans="1:3" x14ac:dyDescent="0.3">
      <c r="A121" s="5">
        <v>26</v>
      </c>
      <c r="B121" s="5" t="s">
        <v>43</v>
      </c>
      <c r="C121" s="5">
        <f t="shared" si="1"/>
        <v>0</v>
      </c>
    </row>
    <row r="122" spans="1:3" x14ac:dyDescent="0.3">
      <c r="A122" s="5">
        <v>23</v>
      </c>
      <c r="B122" s="5" t="s">
        <v>43</v>
      </c>
      <c r="C122" s="5">
        <f t="shared" si="1"/>
        <v>0</v>
      </c>
    </row>
    <row r="123" spans="1:3" x14ac:dyDescent="0.3">
      <c r="A123" s="5">
        <v>22</v>
      </c>
      <c r="B123" s="5" t="s">
        <v>43</v>
      </c>
      <c r="C123" s="5">
        <f t="shared" si="1"/>
        <v>0</v>
      </c>
    </row>
    <row r="124" spans="1:3" x14ac:dyDescent="0.3">
      <c r="A124" s="5">
        <v>14</v>
      </c>
      <c r="B124" s="5" t="s">
        <v>35</v>
      </c>
      <c r="C124" s="5">
        <f t="shared" si="1"/>
        <v>1</v>
      </c>
    </row>
    <row r="125" spans="1:3" x14ac:dyDescent="0.3">
      <c r="A125" s="5">
        <v>6</v>
      </c>
      <c r="B125" s="5" t="s">
        <v>43</v>
      </c>
      <c r="C125" s="5">
        <f t="shared" si="1"/>
        <v>0</v>
      </c>
    </row>
    <row r="126" spans="1:3" x14ac:dyDescent="0.3">
      <c r="A126" s="5">
        <v>6</v>
      </c>
      <c r="B126" s="5" t="s">
        <v>35</v>
      </c>
      <c r="C126" s="5">
        <f t="shared" si="1"/>
        <v>1</v>
      </c>
    </row>
    <row r="127" spans="1:3" x14ac:dyDescent="0.3">
      <c r="A127" s="5">
        <v>6</v>
      </c>
      <c r="B127" s="5" t="s">
        <v>43</v>
      </c>
      <c r="C127" s="5">
        <f t="shared" si="1"/>
        <v>0</v>
      </c>
    </row>
    <row r="128" spans="1:3" x14ac:dyDescent="0.3">
      <c r="A128" s="5">
        <v>23</v>
      </c>
      <c r="B128" s="5" t="s">
        <v>35</v>
      </c>
      <c r="C128" s="5">
        <f t="shared" si="1"/>
        <v>1</v>
      </c>
    </row>
    <row r="129" spans="1:3" x14ac:dyDescent="0.3">
      <c r="A129" s="5">
        <v>22</v>
      </c>
      <c r="B129" s="5" t="s">
        <v>35</v>
      </c>
      <c r="C129" s="5">
        <f t="shared" si="1"/>
        <v>1</v>
      </c>
    </row>
    <row r="130" spans="1:3" x14ac:dyDescent="0.3">
      <c r="A130" s="5">
        <v>2</v>
      </c>
      <c r="B130" s="5" t="s">
        <v>43</v>
      </c>
      <c r="C130" s="5">
        <f t="shared" si="1"/>
        <v>0</v>
      </c>
    </row>
    <row r="131" spans="1:3" x14ac:dyDescent="0.3">
      <c r="A131" s="5">
        <v>20</v>
      </c>
      <c r="B131" s="5" t="s">
        <v>43</v>
      </c>
      <c r="C131" s="5">
        <f t="shared" ref="C131:C194" si="2">IF(B131="Yes",1,0)</f>
        <v>0</v>
      </c>
    </row>
    <row r="132" spans="1:3" x14ac:dyDescent="0.3">
      <c r="A132" s="5">
        <v>28</v>
      </c>
      <c r="B132" s="5" t="s">
        <v>43</v>
      </c>
      <c r="C132" s="5">
        <f t="shared" si="2"/>
        <v>0</v>
      </c>
    </row>
    <row r="133" spans="1:3" x14ac:dyDescent="0.3">
      <c r="A133" s="5">
        <v>12</v>
      </c>
      <c r="B133" s="5" t="s">
        <v>43</v>
      </c>
      <c r="C133" s="5">
        <f t="shared" si="2"/>
        <v>0</v>
      </c>
    </row>
    <row r="134" spans="1:3" x14ac:dyDescent="0.3">
      <c r="A134" s="5">
        <v>20</v>
      </c>
      <c r="B134" s="5" t="s">
        <v>35</v>
      </c>
      <c r="C134" s="5">
        <f t="shared" si="2"/>
        <v>1</v>
      </c>
    </row>
    <row r="135" spans="1:3" x14ac:dyDescent="0.3">
      <c r="A135" s="5">
        <v>9</v>
      </c>
      <c r="B135" s="5" t="s">
        <v>43</v>
      </c>
      <c r="C135" s="5">
        <f t="shared" si="2"/>
        <v>0</v>
      </c>
    </row>
    <row r="136" spans="1:3" x14ac:dyDescent="0.3">
      <c r="A136" s="5">
        <v>25</v>
      </c>
      <c r="B136" s="5" t="s">
        <v>43</v>
      </c>
      <c r="C136" s="5">
        <f t="shared" si="2"/>
        <v>0</v>
      </c>
    </row>
    <row r="137" spans="1:3" x14ac:dyDescent="0.3">
      <c r="A137" s="5">
        <v>6</v>
      </c>
      <c r="B137" s="5" t="s">
        <v>43</v>
      </c>
      <c r="C137" s="5">
        <f t="shared" si="2"/>
        <v>0</v>
      </c>
    </row>
    <row r="138" spans="1:3" x14ac:dyDescent="0.3">
      <c r="A138" s="5">
        <v>8</v>
      </c>
      <c r="B138" s="5" t="s">
        <v>35</v>
      </c>
      <c r="C138" s="5">
        <f t="shared" si="2"/>
        <v>1</v>
      </c>
    </row>
    <row r="139" spans="1:3" x14ac:dyDescent="0.3">
      <c r="A139" s="5">
        <v>4</v>
      </c>
      <c r="B139" s="5" t="s">
        <v>43</v>
      </c>
      <c r="C139" s="5">
        <f t="shared" si="2"/>
        <v>0</v>
      </c>
    </row>
    <row r="140" spans="1:3" x14ac:dyDescent="0.3">
      <c r="A140" s="5">
        <v>28</v>
      </c>
      <c r="B140" s="5" t="s">
        <v>43</v>
      </c>
      <c r="C140" s="5">
        <f t="shared" si="2"/>
        <v>0</v>
      </c>
    </row>
    <row r="141" spans="1:3" x14ac:dyDescent="0.3">
      <c r="A141" s="5">
        <v>9</v>
      </c>
      <c r="B141" s="5" t="s">
        <v>43</v>
      </c>
      <c r="C141" s="5">
        <f t="shared" si="2"/>
        <v>0</v>
      </c>
    </row>
    <row r="142" spans="1:3" x14ac:dyDescent="0.3">
      <c r="A142" s="5">
        <v>9</v>
      </c>
      <c r="B142" s="5" t="s">
        <v>35</v>
      </c>
      <c r="C142" s="5">
        <f t="shared" si="2"/>
        <v>1</v>
      </c>
    </row>
    <row r="143" spans="1:3" x14ac:dyDescent="0.3">
      <c r="A143" s="5">
        <v>29</v>
      </c>
      <c r="B143" s="5" t="s">
        <v>43</v>
      </c>
      <c r="C143" s="5">
        <f t="shared" si="2"/>
        <v>0</v>
      </c>
    </row>
    <row r="144" spans="1:3" x14ac:dyDescent="0.3">
      <c r="A144" s="5">
        <v>3</v>
      </c>
      <c r="B144" s="5" t="s">
        <v>43</v>
      </c>
      <c r="C144" s="5">
        <f t="shared" si="2"/>
        <v>0</v>
      </c>
    </row>
    <row r="145" spans="1:3" x14ac:dyDescent="0.3">
      <c r="A145" s="5">
        <v>18</v>
      </c>
      <c r="B145" s="5" t="s">
        <v>43</v>
      </c>
      <c r="C145" s="5">
        <f t="shared" si="2"/>
        <v>0</v>
      </c>
    </row>
    <row r="146" spans="1:3" x14ac:dyDescent="0.3">
      <c r="A146" s="5">
        <v>9</v>
      </c>
      <c r="B146" s="5" t="s">
        <v>43</v>
      </c>
      <c r="C146" s="5">
        <f t="shared" si="2"/>
        <v>0</v>
      </c>
    </row>
    <row r="147" spans="1:3" x14ac:dyDescent="0.3">
      <c r="A147" s="5">
        <v>5</v>
      </c>
      <c r="B147" s="5" t="s">
        <v>43</v>
      </c>
      <c r="C147" s="5">
        <f t="shared" si="2"/>
        <v>0</v>
      </c>
    </row>
    <row r="148" spans="1:3" x14ac:dyDescent="0.3">
      <c r="A148" s="5">
        <v>2</v>
      </c>
      <c r="B148" s="5" t="s">
        <v>43</v>
      </c>
      <c r="C148" s="5">
        <f t="shared" si="2"/>
        <v>0</v>
      </c>
    </row>
    <row r="149" spans="1:3" x14ac:dyDescent="0.3">
      <c r="A149" s="5">
        <v>10</v>
      </c>
      <c r="B149" s="5" t="s">
        <v>43</v>
      </c>
      <c r="C149" s="5">
        <f t="shared" si="2"/>
        <v>0</v>
      </c>
    </row>
    <row r="150" spans="1:3" x14ac:dyDescent="0.3">
      <c r="A150" s="5">
        <v>9</v>
      </c>
      <c r="B150" s="5" t="s">
        <v>43</v>
      </c>
      <c r="C150" s="5">
        <f t="shared" si="2"/>
        <v>0</v>
      </c>
    </row>
    <row r="151" spans="1:3" x14ac:dyDescent="0.3">
      <c r="A151" s="5">
        <v>3</v>
      </c>
      <c r="B151" s="5" t="s">
        <v>43</v>
      </c>
      <c r="C151" s="5">
        <f t="shared" si="2"/>
        <v>0</v>
      </c>
    </row>
    <row r="152" spans="1:3" x14ac:dyDescent="0.3">
      <c r="A152" s="5">
        <v>26</v>
      </c>
      <c r="B152" s="5" t="s">
        <v>43</v>
      </c>
      <c r="C152" s="5">
        <f t="shared" si="2"/>
        <v>0</v>
      </c>
    </row>
    <row r="153" spans="1:3" x14ac:dyDescent="0.3">
      <c r="A153" s="5">
        <v>1</v>
      </c>
      <c r="B153" s="5" t="s">
        <v>43</v>
      </c>
      <c r="C153" s="5">
        <f t="shared" si="2"/>
        <v>0</v>
      </c>
    </row>
    <row r="154" spans="1:3" x14ac:dyDescent="0.3">
      <c r="A154" s="5">
        <v>6</v>
      </c>
      <c r="B154" s="5" t="s">
        <v>43</v>
      </c>
      <c r="C154" s="5">
        <f t="shared" si="2"/>
        <v>0</v>
      </c>
    </row>
    <row r="155" spans="1:3" x14ac:dyDescent="0.3">
      <c r="A155" s="5">
        <v>9</v>
      </c>
      <c r="B155" s="5" t="s">
        <v>43</v>
      </c>
      <c r="C155" s="5">
        <f t="shared" si="2"/>
        <v>0</v>
      </c>
    </row>
    <row r="156" spans="1:3" x14ac:dyDescent="0.3">
      <c r="A156" s="5">
        <v>8</v>
      </c>
      <c r="B156" s="5" t="s">
        <v>43</v>
      </c>
      <c r="C156" s="5">
        <f t="shared" si="2"/>
        <v>0</v>
      </c>
    </row>
    <row r="157" spans="1:3" x14ac:dyDescent="0.3">
      <c r="A157" s="5">
        <v>1</v>
      </c>
      <c r="B157" s="5" t="s">
        <v>43</v>
      </c>
      <c r="C157" s="5">
        <f t="shared" si="2"/>
        <v>0</v>
      </c>
    </row>
    <row r="158" spans="1:3" x14ac:dyDescent="0.3">
      <c r="A158" s="5">
        <v>7</v>
      </c>
      <c r="B158" s="5" t="s">
        <v>43</v>
      </c>
      <c r="C158" s="5">
        <f t="shared" si="2"/>
        <v>0</v>
      </c>
    </row>
    <row r="159" spans="1:3" x14ac:dyDescent="0.3">
      <c r="A159" s="5">
        <v>9</v>
      </c>
      <c r="B159" s="5" t="s">
        <v>43</v>
      </c>
      <c r="C159" s="5">
        <f t="shared" si="2"/>
        <v>0</v>
      </c>
    </row>
    <row r="160" spans="1:3" x14ac:dyDescent="0.3">
      <c r="A160" s="5">
        <v>4</v>
      </c>
      <c r="B160" s="5" t="s">
        <v>43</v>
      </c>
      <c r="C160" s="5">
        <f t="shared" si="2"/>
        <v>0</v>
      </c>
    </row>
    <row r="161" spans="1:3" x14ac:dyDescent="0.3">
      <c r="A161" s="5">
        <v>2</v>
      </c>
      <c r="B161" s="5" t="s">
        <v>43</v>
      </c>
      <c r="C161" s="5">
        <f t="shared" si="2"/>
        <v>0</v>
      </c>
    </row>
    <row r="162" spans="1:3" x14ac:dyDescent="0.3">
      <c r="A162" s="5">
        <v>19</v>
      </c>
      <c r="B162" s="5" t="s">
        <v>43</v>
      </c>
      <c r="C162" s="5">
        <f t="shared" si="2"/>
        <v>0</v>
      </c>
    </row>
    <row r="163" spans="1:3" x14ac:dyDescent="0.3">
      <c r="A163" s="5">
        <v>9</v>
      </c>
      <c r="B163" s="5" t="s">
        <v>43</v>
      </c>
      <c r="C163" s="5">
        <f t="shared" si="2"/>
        <v>0</v>
      </c>
    </row>
    <row r="164" spans="1:3" x14ac:dyDescent="0.3">
      <c r="A164" s="5">
        <v>21</v>
      </c>
      <c r="B164" s="5" t="s">
        <v>43</v>
      </c>
      <c r="C164" s="5">
        <f t="shared" si="2"/>
        <v>0</v>
      </c>
    </row>
    <row r="165" spans="1:3" x14ac:dyDescent="0.3">
      <c r="A165" s="5">
        <v>24</v>
      </c>
      <c r="B165" s="5" t="s">
        <v>43</v>
      </c>
      <c r="C165" s="5">
        <f t="shared" si="2"/>
        <v>0</v>
      </c>
    </row>
    <row r="166" spans="1:3" x14ac:dyDescent="0.3">
      <c r="A166" s="5">
        <v>3</v>
      </c>
      <c r="B166" s="5" t="s">
        <v>43</v>
      </c>
      <c r="C166" s="5">
        <f t="shared" si="2"/>
        <v>0</v>
      </c>
    </row>
    <row r="167" spans="1:3" x14ac:dyDescent="0.3">
      <c r="A167" s="5">
        <v>11</v>
      </c>
      <c r="B167" s="5" t="s">
        <v>43</v>
      </c>
      <c r="C167" s="5">
        <f t="shared" si="2"/>
        <v>0</v>
      </c>
    </row>
    <row r="168" spans="1:3" x14ac:dyDescent="0.3">
      <c r="A168" s="5">
        <v>14</v>
      </c>
      <c r="B168" s="5" t="s">
        <v>43</v>
      </c>
      <c r="C168" s="5">
        <f t="shared" si="2"/>
        <v>0</v>
      </c>
    </row>
    <row r="169" spans="1:3" x14ac:dyDescent="0.3">
      <c r="A169" s="5">
        <v>5</v>
      </c>
      <c r="B169" s="5" t="s">
        <v>43</v>
      </c>
      <c r="C169" s="5">
        <f t="shared" si="2"/>
        <v>0</v>
      </c>
    </row>
    <row r="170" spans="1:3" x14ac:dyDescent="0.3">
      <c r="A170" s="5">
        <v>1</v>
      </c>
      <c r="B170" s="5" t="s">
        <v>43</v>
      </c>
      <c r="C170" s="5">
        <f t="shared" si="2"/>
        <v>0</v>
      </c>
    </row>
    <row r="171" spans="1:3" x14ac:dyDescent="0.3">
      <c r="A171" s="5">
        <v>6</v>
      </c>
      <c r="B171" s="5" t="s">
        <v>43</v>
      </c>
      <c r="C171" s="5">
        <f t="shared" si="2"/>
        <v>0</v>
      </c>
    </row>
    <row r="172" spans="1:3" x14ac:dyDescent="0.3">
      <c r="A172" s="5">
        <v>17</v>
      </c>
      <c r="B172" s="5" t="s">
        <v>43</v>
      </c>
      <c r="C172" s="5">
        <f t="shared" si="2"/>
        <v>0</v>
      </c>
    </row>
    <row r="173" spans="1:3" x14ac:dyDescent="0.3">
      <c r="A173" s="5">
        <v>1</v>
      </c>
      <c r="B173" s="5" t="s">
        <v>35</v>
      </c>
      <c r="C173" s="5">
        <f t="shared" si="2"/>
        <v>1</v>
      </c>
    </row>
    <row r="174" spans="1:3" x14ac:dyDescent="0.3">
      <c r="A174" s="5">
        <v>3</v>
      </c>
      <c r="B174" s="5" t="s">
        <v>43</v>
      </c>
      <c r="C174" s="5">
        <f t="shared" si="2"/>
        <v>0</v>
      </c>
    </row>
    <row r="175" spans="1:3" x14ac:dyDescent="0.3">
      <c r="A175" s="5">
        <v>9</v>
      </c>
      <c r="B175" s="5" t="s">
        <v>43</v>
      </c>
      <c r="C175" s="5">
        <f t="shared" si="2"/>
        <v>0</v>
      </c>
    </row>
    <row r="176" spans="1:3" x14ac:dyDescent="0.3">
      <c r="A176" s="5">
        <v>4</v>
      </c>
      <c r="B176" s="5" t="s">
        <v>43</v>
      </c>
      <c r="C176" s="5">
        <f t="shared" si="2"/>
        <v>0</v>
      </c>
    </row>
    <row r="177" spans="1:3" x14ac:dyDescent="0.3">
      <c r="A177" s="5">
        <v>8</v>
      </c>
      <c r="B177" s="5" t="s">
        <v>43</v>
      </c>
      <c r="C177" s="5">
        <f t="shared" si="2"/>
        <v>0</v>
      </c>
    </row>
    <row r="178" spans="1:3" x14ac:dyDescent="0.3">
      <c r="A178" s="5">
        <v>2</v>
      </c>
      <c r="B178" s="5" t="s">
        <v>43</v>
      </c>
      <c r="C178" s="5">
        <f t="shared" si="2"/>
        <v>0</v>
      </c>
    </row>
    <row r="179" spans="1:3" x14ac:dyDescent="0.3">
      <c r="A179" s="5">
        <v>2</v>
      </c>
      <c r="B179" s="5" t="s">
        <v>35</v>
      </c>
      <c r="C179" s="5">
        <f t="shared" si="2"/>
        <v>1</v>
      </c>
    </row>
    <row r="180" spans="1:3" x14ac:dyDescent="0.3">
      <c r="A180" s="5">
        <v>1</v>
      </c>
      <c r="B180" s="5" t="s">
        <v>43</v>
      </c>
      <c r="C180" s="5">
        <f t="shared" si="2"/>
        <v>0</v>
      </c>
    </row>
    <row r="181" spans="1:3" x14ac:dyDescent="0.3">
      <c r="A181" s="5">
        <v>9</v>
      </c>
      <c r="B181" s="5" t="s">
        <v>43</v>
      </c>
      <c r="C181" s="5">
        <f t="shared" si="2"/>
        <v>0</v>
      </c>
    </row>
    <row r="182" spans="1:3" x14ac:dyDescent="0.3">
      <c r="A182" s="5">
        <v>12</v>
      </c>
      <c r="B182" s="5" t="s">
        <v>43</v>
      </c>
      <c r="C182" s="5">
        <f t="shared" si="2"/>
        <v>0</v>
      </c>
    </row>
    <row r="183" spans="1:3" x14ac:dyDescent="0.3">
      <c r="A183" s="5">
        <v>27</v>
      </c>
      <c r="B183" s="5" t="s">
        <v>43</v>
      </c>
      <c r="C183" s="5">
        <f t="shared" si="2"/>
        <v>0</v>
      </c>
    </row>
    <row r="184" spans="1:3" x14ac:dyDescent="0.3">
      <c r="A184" s="5">
        <v>20</v>
      </c>
      <c r="B184" s="5" t="s">
        <v>35</v>
      </c>
      <c r="C184" s="5">
        <f t="shared" si="2"/>
        <v>1</v>
      </c>
    </row>
    <row r="185" spans="1:3" x14ac:dyDescent="0.3">
      <c r="A185" s="5">
        <v>1</v>
      </c>
      <c r="B185" s="5" t="s">
        <v>43</v>
      </c>
      <c r="C185" s="5">
        <f t="shared" si="2"/>
        <v>0</v>
      </c>
    </row>
    <row r="186" spans="1:3" x14ac:dyDescent="0.3">
      <c r="A186" s="5">
        <v>13</v>
      </c>
      <c r="B186" s="5" t="s">
        <v>43</v>
      </c>
      <c r="C186" s="5">
        <f t="shared" si="2"/>
        <v>0</v>
      </c>
    </row>
    <row r="187" spans="1:3" x14ac:dyDescent="0.3">
      <c r="A187" s="5">
        <v>14</v>
      </c>
      <c r="B187" s="5" t="s">
        <v>43</v>
      </c>
      <c r="C187" s="5">
        <f t="shared" si="2"/>
        <v>0</v>
      </c>
    </row>
    <row r="188" spans="1:3" x14ac:dyDescent="0.3">
      <c r="A188" s="5">
        <v>4</v>
      </c>
      <c r="B188" s="5" t="s">
        <v>43</v>
      </c>
      <c r="C188" s="5">
        <f t="shared" si="2"/>
        <v>0</v>
      </c>
    </row>
    <row r="189" spans="1:3" x14ac:dyDescent="0.3">
      <c r="A189" s="5">
        <v>14</v>
      </c>
      <c r="B189" s="5" t="s">
        <v>43</v>
      </c>
      <c r="C189" s="5">
        <f t="shared" si="2"/>
        <v>0</v>
      </c>
    </row>
    <row r="190" spans="1:3" x14ac:dyDescent="0.3">
      <c r="A190" s="5">
        <v>2</v>
      </c>
      <c r="B190" s="5" t="s">
        <v>43</v>
      </c>
      <c r="C190" s="5">
        <f t="shared" si="2"/>
        <v>0</v>
      </c>
    </row>
    <row r="191" spans="1:3" x14ac:dyDescent="0.3">
      <c r="A191" s="5">
        <v>3</v>
      </c>
      <c r="B191" s="5" t="s">
        <v>43</v>
      </c>
      <c r="C191" s="5">
        <f t="shared" si="2"/>
        <v>0</v>
      </c>
    </row>
    <row r="192" spans="1:3" x14ac:dyDescent="0.3">
      <c r="A192" s="5">
        <v>1</v>
      </c>
      <c r="B192" s="5" t="s">
        <v>43</v>
      </c>
      <c r="C192" s="5">
        <f t="shared" si="2"/>
        <v>0</v>
      </c>
    </row>
    <row r="193" spans="1:3" x14ac:dyDescent="0.3">
      <c r="A193" s="5">
        <v>9</v>
      </c>
      <c r="B193" s="5" t="s">
        <v>43</v>
      </c>
      <c r="C193" s="5">
        <f t="shared" si="2"/>
        <v>0</v>
      </c>
    </row>
    <row r="194" spans="1:3" x14ac:dyDescent="0.3">
      <c r="A194" s="5">
        <v>23</v>
      </c>
      <c r="B194" s="5" t="s">
        <v>35</v>
      </c>
      <c r="C194" s="5">
        <f t="shared" si="2"/>
        <v>1</v>
      </c>
    </row>
    <row r="195" spans="1:3" x14ac:dyDescent="0.3">
      <c r="A195" s="5">
        <v>7</v>
      </c>
      <c r="B195" s="5" t="s">
        <v>43</v>
      </c>
      <c r="C195" s="5">
        <f t="shared" ref="C195:C258" si="3">IF(B195="Yes",1,0)</f>
        <v>0</v>
      </c>
    </row>
    <row r="196" spans="1:3" x14ac:dyDescent="0.3">
      <c r="A196" s="5">
        <v>2</v>
      </c>
      <c r="B196" s="5" t="s">
        <v>43</v>
      </c>
      <c r="C196" s="5">
        <f t="shared" si="3"/>
        <v>0</v>
      </c>
    </row>
    <row r="197" spans="1:3" x14ac:dyDescent="0.3">
      <c r="A197" s="5">
        <v>21</v>
      </c>
      <c r="B197" s="5" t="s">
        <v>43</v>
      </c>
      <c r="C197" s="5">
        <f t="shared" si="3"/>
        <v>0</v>
      </c>
    </row>
    <row r="198" spans="1:3" x14ac:dyDescent="0.3">
      <c r="A198" s="5">
        <v>2</v>
      </c>
      <c r="B198" s="5" t="s">
        <v>43</v>
      </c>
      <c r="C198" s="5">
        <f t="shared" si="3"/>
        <v>0</v>
      </c>
    </row>
    <row r="199" spans="1:3" x14ac:dyDescent="0.3">
      <c r="A199" s="5">
        <v>21</v>
      </c>
      <c r="B199" s="5" t="s">
        <v>43</v>
      </c>
      <c r="C199" s="5">
        <f t="shared" si="3"/>
        <v>0</v>
      </c>
    </row>
    <row r="200" spans="1:3" x14ac:dyDescent="0.3">
      <c r="A200" s="5">
        <v>2</v>
      </c>
      <c r="B200" s="5" t="s">
        <v>43</v>
      </c>
      <c r="C200" s="5">
        <f t="shared" si="3"/>
        <v>0</v>
      </c>
    </row>
    <row r="201" spans="1:3" x14ac:dyDescent="0.3">
      <c r="A201" s="5">
        <v>29</v>
      </c>
      <c r="B201" s="5" t="s">
        <v>43</v>
      </c>
      <c r="C201" s="5">
        <f t="shared" si="3"/>
        <v>0</v>
      </c>
    </row>
    <row r="202" spans="1:3" x14ac:dyDescent="0.3">
      <c r="A202" s="5">
        <v>1</v>
      </c>
      <c r="B202" s="5" t="s">
        <v>43</v>
      </c>
      <c r="C202" s="5">
        <f t="shared" si="3"/>
        <v>0</v>
      </c>
    </row>
    <row r="203" spans="1:3" x14ac:dyDescent="0.3">
      <c r="A203" s="5">
        <v>18</v>
      </c>
      <c r="B203" s="5" t="s">
        <v>43</v>
      </c>
      <c r="C203" s="5">
        <f t="shared" si="3"/>
        <v>0</v>
      </c>
    </row>
    <row r="204" spans="1:3" x14ac:dyDescent="0.3">
      <c r="A204" s="5">
        <v>10</v>
      </c>
      <c r="B204" s="5" t="s">
        <v>43</v>
      </c>
      <c r="C204" s="5">
        <f t="shared" si="3"/>
        <v>0</v>
      </c>
    </row>
    <row r="205" spans="1:3" x14ac:dyDescent="0.3">
      <c r="A205" s="5">
        <v>19</v>
      </c>
      <c r="B205" s="5" t="s">
        <v>43</v>
      </c>
      <c r="C205" s="5">
        <f t="shared" si="3"/>
        <v>0</v>
      </c>
    </row>
    <row r="206" spans="1:3" x14ac:dyDescent="0.3">
      <c r="A206" s="5">
        <v>29</v>
      </c>
      <c r="B206" s="5" t="s">
        <v>35</v>
      </c>
      <c r="C206" s="5">
        <f t="shared" si="3"/>
        <v>1</v>
      </c>
    </row>
    <row r="207" spans="1:3" x14ac:dyDescent="0.3">
      <c r="A207" s="5">
        <v>27</v>
      </c>
      <c r="B207" s="5" t="s">
        <v>35</v>
      </c>
      <c r="C207" s="5">
        <f t="shared" si="3"/>
        <v>1</v>
      </c>
    </row>
    <row r="208" spans="1:3" x14ac:dyDescent="0.3">
      <c r="A208" s="5">
        <v>5</v>
      </c>
      <c r="B208" s="5" t="s">
        <v>43</v>
      </c>
      <c r="C208" s="5">
        <f t="shared" si="3"/>
        <v>0</v>
      </c>
    </row>
    <row r="209" spans="1:3" x14ac:dyDescent="0.3">
      <c r="A209" s="5">
        <v>18</v>
      </c>
      <c r="B209" s="5" t="s">
        <v>43</v>
      </c>
      <c r="C209" s="5">
        <f t="shared" si="3"/>
        <v>0</v>
      </c>
    </row>
    <row r="210" spans="1:3" x14ac:dyDescent="0.3">
      <c r="A210" s="5">
        <v>9</v>
      </c>
      <c r="B210" s="5" t="s">
        <v>43</v>
      </c>
      <c r="C210" s="5">
        <f t="shared" si="3"/>
        <v>0</v>
      </c>
    </row>
    <row r="211" spans="1:3" x14ac:dyDescent="0.3">
      <c r="A211" s="5">
        <v>1</v>
      </c>
      <c r="B211" s="5" t="s">
        <v>43</v>
      </c>
      <c r="C211" s="5">
        <f t="shared" si="3"/>
        <v>0</v>
      </c>
    </row>
    <row r="212" spans="1:3" x14ac:dyDescent="0.3">
      <c r="A212" s="5">
        <v>4</v>
      </c>
      <c r="B212" s="5" t="s">
        <v>35</v>
      </c>
      <c r="C212" s="5">
        <f t="shared" si="3"/>
        <v>1</v>
      </c>
    </row>
    <row r="213" spans="1:3" x14ac:dyDescent="0.3">
      <c r="A213" s="5">
        <v>1</v>
      </c>
      <c r="B213" s="5" t="s">
        <v>43</v>
      </c>
      <c r="C213" s="5">
        <f t="shared" si="3"/>
        <v>0</v>
      </c>
    </row>
    <row r="214" spans="1:3" x14ac:dyDescent="0.3">
      <c r="A214" s="5">
        <v>20</v>
      </c>
      <c r="B214" s="5" t="s">
        <v>43</v>
      </c>
      <c r="C214" s="5">
        <f t="shared" si="3"/>
        <v>0</v>
      </c>
    </row>
    <row r="215" spans="1:3" x14ac:dyDescent="0.3">
      <c r="A215" s="5">
        <v>8</v>
      </c>
      <c r="B215" s="5" t="s">
        <v>43</v>
      </c>
      <c r="C215" s="5">
        <f t="shared" si="3"/>
        <v>0</v>
      </c>
    </row>
    <row r="216" spans="1:3" x14ac:dyDescent="0.3">
      <c r="A216" s="5">
        <v>3</v>
      </c>
      <c r="B216" s="5" t="s">
        <v>35</v>
      </c>
      <c r="C216" s="5">
        <f t="shared" si="3"/>
        <v>1</v>
      </c>
    </row>
    <row r="217" spans="1:3" x14ac:dyDescent="0.3">
      <c r="A217" s="5">
        <v>6</v>
      </c>
      <c r="B217" s="5" t="s">
        <v>43</v>
      </c>
      <c r="C217" s="5">
        <f t="shared" si="3"/>
        <v>0</v>
      </c>
    </row>
    <row r="218" spans="1:3" x14ac:dyDescent="0.3">
      <c r="A218" s="5">
        <v>26</v>
      </c>
      <c r="B218" s="5" t="s">
        <v>35</v>
      </c>
      <c r="C218" s="5">
        <f t="shared" si="3"/>
        <v>1</v>
      </c>
    </row>
    <row r="219" spans="1:3" x14ac:dyDescent="0.3">
      <c r="A219" s="5">
        <v>1</v>
      </c>
      <c r="B219" s="5" t="s">
        <v>35</v>
      </c>
      <c r="C219" s="5">
        <f t="shared" si="3"/>
        <v>1</v>
      </c>
    </row>
    <row r="220" spans="1:3" x14ac:dyDescent="0.3">
      <c r="A220" s="5">
        <v>6</v>
      </c>
      <c r="B220" s="5" t="s">
        <v>43</v>
      </c>
      <c r="C220" s="5">
        <f t="shared" si="3"/>
        <v>0</v>
      </c>
    </row>
    <row r="221" spans="1:3" x14ac:dyDescent="0.3">
      <c r="A221" s="5">
        <v>3</v>
      </c>
      <c r="B221" s="5" t="s">
        <v>43</v>
      </c>
      <c r="C221" s="5">
        <f t="shared" si="3"/>
        <v>0</v>
      </c>
    </row>
    <row r="222" spans="1:3" x14ac:dyDescent="0.3">
      <c r="A222" s="5">
        <v>5</v>
      </c>
      <c r="B222" s="5" t="s">
        <v>43</v>
      </c>
      <c r="C222" s="5">
        <f t="shared" si="3"/>
        <v>0</v>
      </c>
    </row>
    <row r="223" spans="1:3" x14ac:dyDescent="0.3">
      <c r="A223" s="5">
        <v>4</v>
      </c>
      <c r="B223" s="5" t="s">
        <v>43</v>
      </c>
      <c r="C223" s="5">
        <f t="shared" si="3"/>
        <v>0</v>
      </c>
    </row>
    <row r="224" spans="1:3" x14ac:dyDescent="0.3">
      <c r="A224" s="5">
        <v>11</v>
      </c>
      <c r="B224" s="5" t="s">
        <v>43</v>
      </c>
      <c r="C224" s="5">
        <f t="shared" si="3"/>
        <v>0</v>
      </c>
    </row>
    <row r="225" spans="1:3" x14ac:dyDescent="0.3">
      <c r="A225" s="5">
        <v>3</v>
      </c>
      <c r="B225" s="5" t="s">
        <v>43</v>
      </c>
      <c r="C225" s="5">
        <f t="shared" si="3"/>
        <v>0</v>
      </c>
    </row>
    <row r="226" spans="1:3" x14ac:dyDescent="0.3">
      <c r="A226" s="5">
        <v>1</v>
      </c>
      <c r="B226" s="5" t="s">
        <v>43</v>
      </c>
      <c r="C226" s="5">
        <f t="shared" si="3"/>
        <v>0</v>
      </c>
    </row>
    <row r="227" spans="1:3" x14ac:dyDescent="0.3">
      <c r="A227" s="5">
        <v>3</v>
      </c>
      <c r="B227" s="5" t="s">
        <v>43</v>
      </c>
      <c r="C227" s="5">
        <f t="shared" si="3"/>
        <v>0</v>
      </c>
    </row>
    <row r="228" spans="1:3" x14ac:dyDescent="0.3">
      <c r="A228" s="5">
        <v>4</v>
      </c>
      <c r="B228" s="5" t="s">
        <v>43</v>
      </c>
      <c r="C228" s="5">
        <f t="shared" si="3"/>
        <v>0</v>
      </c>
    </row>
    <row r="229" spans="1:3" x14ac:dyDescent="0.3">
      <c r="A229" s="5">
        <v>1</v>
      </c>
      <c r="B229" s="5" t="s">
        <v>43</v>
      </c>
      <c r="C229" s="5">
        <f t="shared" si="3"/>
        <v>0</v>
      </c>
    </row>
    <row r="230" spans="1:3" x14ac:dyDescent="0.3">
      <c r="A230" s="5">
        <v>1</v>
      </c>
      <c r="B230" s="5" t="s">
        <v>43</v>
      </c>
      <c r="C230" s="5">
        <f t="shared" si="3"/>
        <v>0</v>
      </c>
    </row>
    <row r="231" spans="1:3" x14ac:dyDescent="0.3">
      <c r="A231" s="5">
        <v>18</v>
      </c>
      <c r="B231" s="5" t="s">
        <v>35</v>
      </c>
      <c r="C231" s="5">
        <f t="shared" si="3"/>
        <v>1</v>
      </c>
    </row>
    <row r="232" spans="1:3" x14ac:dyDescent="0.3">
      <c r="A232" s="5">
        <v>2</v>
      </c>
      <c r="B232" s="5" t="s">
        <v>43</v>
      </c>
      <c r="C232" s="5">
        <f t="shared" si="3"/>
        <v>0</v>
      </c>
    </row>
    <row r="233" spans="1:3" x14ac:dyDescent="0.3">
      <c r="A233" s="5">
        <v>4</v>
      </c>
      <c r="B233" s="5" t="s">
        <v>43</v>
      </c>
      <c r="C233" s="5">
        <f t="shared" si="3"/>
        <v>0</v>
      </c>
    </row>
    <row r="234" spans="1:3" x14ac:dyDescent="0.3">
      <c r="A234" s="5">
        <v>6</v>
      </c>
      <c r="B234" s="5" t="s">
        <v>43</v>
      </c>
      <c r="C234" s="5">
        <f t="shared" si="3"/>
        <v>0</v>
      </c>
    </row>
    <row r="235" spans="1:3" x14ac:dyDescent="0.3">
      <c r="A235" s="5">
        <v>1</v>
      </c>
      <c r="B235" s="5" t="s">
        <v>43</v>
      </c>
      <c r="C235" s="5">
        <f t="shared" si="3"/>
        <v>0</v>
      </c>
    </row>
    <row r="236" spans="1:3" x14ac:dyDescent="0.3">
      <c r="A236" s="5">
        <v>14</v>
      </c>
      <c r="B236" s="5" t="s">
        <v>35</v>
      </c>
      <c r="C236" s="5">
        <f t="shared" si="3"/>
        <v>1</v>
      </c>
    </row>
    <row r="237" spans="1:3" x14ac:dyDescent="0.3">
      <c r="A237" s="5">
        <v>16</v>
      </c>
      <c r="B237" s="5" t="s">
        <v>43</v>
      </c>
      <c r="C237" s="5">
        <f t="shared" si="3"/>
        <v>0</v>
      </c>
    </row>
    <row r="238" spans="1:3" x14ac:dyDescent="0.3">
      <c r="A238" s="5">
        <v>2</v>
      </c>
      <c r="B238" s="5" t="s">
        <v>35</v>
      </c>
      <c r="C238" s="5">
        <f t="shared" si="3"/>
        <v>1</v>
      </c>
    </row>
    <row r="239" spans="1:3" x14ac:dyDescent="0.3">
      <c r="A239" s="5">
        <v>2</v>
      </c>
      <c r="B239" s="5" t="s">
        <v>43</v>
      </c>
      <c r="C239" s="5">
        <f t="shared" si="3"/>
        <v>0</v>
      </c>
    </row>
    <row r="240" spans="1:3" x14ac:dyDescent="0.3">
      <c r="A240" s="5">
        <v>4</v>
      </c>
      <c r="B240" s="5" t="s">
        <v>43</v>
      </c>
      <c r="C240" s="5">
        <f t="shared" si="3"/>
        <v>0</v>
      </c>
    </row>
    <row r="241" spans="1:3" x14ac:dyDescent="0.3">
      <c r="A241" s="5">
        <v>1</v>
      </c>
      <c r="B241" s="5" t="s">
        <v>35</v>
      </c>
      <c r="C241" s="5">
        <f t="shared" si="3"/>
        <v>1</v>
      </c>
    </row>
    <row r="242" spans="1:3" x14ac:dyDescent="0.3">
      <c r="A242" s="5">
        <v>1</v>
      </c>
      <c r="B242" s="5" t="s">
        <v>43</v>
      </c>
      <c r="C242" s="5">
        <f t="shared" si="3"/>
        <v>0</v>
      </c>
    </row>
    <row r="243" spans="1:3" x14ac:dyDescent="0.3">
      <c r="A243" s="5">
        <v>26</v>
      </c>
      <c r="B243" s="5" t="s">
        <v>43</v>
      </c>
      <c r="C243" s="5">
        <f t="shared" si="3"/>
        <v>0</v>
      </c>
    </row>
    <row r="244" spans="1:3" x14ac:dyDescent="0.3">
      <c r="A244" s="5">
        <v>19</v>
      </c>
      <c r="B244" s="5" t="s">
        <v>43</v>
      </c>
      <c r="C244" s="5">
        <f t="shared" si="3"/>
        <v>0</v>
      </c>
    </row>
    <row r="245" spans="1:3" x14ac:dyDescent="0.3">
      <c r="A245" s="5">
        <v>24</v>
      </c>
      <c r="B245" s="5" t="s">
        <v>43</v>
      </c>
      <c r="C245" s="5">
        <f t="shared" si="3"/>
        <v>0</v>
      </c>
    </row>
    <row r="246" spans="1:3" x14ac:dyDescent="0.3">
      <c r="A246" s="5">
        <v>1</v>
      </c>
      <c r="B246" s="5" t="s">
        <v>43</v>
      </c>
      <c r="C246" s="5">
        <f t="shared" si="3"/>
        <v>0</v>
      </c>
    </row>
    <row r="247" spans="1:3" x14ac:dyDescent="0.3">
      <c r="A247" s="5">
        <v>3</v>
      </c>
      <c r="B247" s="5" t="s">
        <v>43</v>
      </c>
      <c r="C247" s="5">
        <f t="shared" si="3"/>
        <v>0</v>
      </c>
    </row>
    <row r="248" spans="1:3" x14ac:dyDescent="0.3">
      <c r="A248" s="5">
        <v>5</v>
      </c>
      <c r="B248" s="5" t="s">
        <v>43</v>
      </c>
      <c r="C248" s="5">
        <f t="shared" si="3"/>
        <v>0</v>
      </c>
    </row>
    <row r="249" spans="1:3" x14ac:dyDescent="0.3">
      <c r="A249" s="5">
        <v>2</v>
      </c>
      <c r="B249" s="5" t="s">
        <v>43</v>
      </c>
      <c r="C249" s="5">
        <f t="shared" si="3"/>
        <v>0</v>
      </c>
    </row>
    <row r="250" spans="1:3" x14ac:dyDescent="0.3">
      <c r="A250" s="5">
        <v>1</v>
      </c>
      <c r="B250" s="5" t="s">
        <v>43</v>
      </c>
      <c r="C250" s="5">
        <f t="shared" si="3"/>
        <v>0</v>
      </c>
    </row>
    <row r="251" spans="1:3" x14ac:dyDescent="0.3">
      <c r="A251" s="5">
        <v>7</v>
      </c>
      <c r="B251" s="5" t="s">
        <v>43</v>
      </c>
      <c r="C251" s="5">
        <f t="shared" si="3"/>
        <v>0</v>
      </c>
    </row>
    <row r="252" spans="1:3" x14ac:dyDescent="0.3">
      <c r="A252" s="5">
        <v>10</v>
      </c>
      <c r="B252" s="5" t="s">
        <v>35</v>
      </c>
      <c r="C252" s="5">
        <f t="shared" si="3"/>
        <v>1</v>
      </c>
    </row>
    <row r="253" spans="1:3" x14ac:dyDescent="0.3">
      <c r="A253" s="5">
        <v>2</v>
      </c>
      <c r="B253" s="5" t="s">
        <v>43</v>
      </c>
      <c r="C253" s="5">
        <f t="shared" si="3"/>
        <v>0</v>
      </c>
    </row>
    <row r="254" spans="1:3" x14ac:dyDescent="0.3">
      <c r="A254" s="5">
        <v>15</v>
      </c>
      <c r="B254" s="5" t="s">
        <v>43</v>
      </c>
      <c r="C254" s="5">
        <f t="shared" si="3"/>
        <v>0</v>
      </c>
    </row>
    <row r="255" spans="1:3" x14ac:dyDescent="0.3">
      <c r="A255" s="5">
        <v>17</v>
      </c>
      <c r="B255" s="5" t="s">
        <v>43</v>
      </c>
      <c r="C255" s="5">
        <f t="shared" si="3"/>
        <v>0</v>
      </c>
    </row>
    <row r="256" spans="1:3" x14ac:dyDescent="0.3">
      <c r="A256" s="5">
        <v>20</v>
      </c>
      <c r="B256" s="5" t="s">
        <v>43</v>
      </c>
      <c r="C256" s="5">
        <f t="shared" si="3"/>
        <v>0</v>
      </c>
    </row>
    <row r="257" spans="1:3" x14ac:dyDescent="0.3">
      <c r="A257" s="5">
        <v>1</v>
      </c>
      <c r="B257" s="5" t="s">
        <v>43</v>
      </c>
      <c r="C257" s="5">
        <f t="shared" si="3"/>
        <v>0</v>
      </c>
    </row>
    <row r="258" spans="1:3" x14ac:dyDescent="0.3">
      <c r="A258" s="5">
        <v>2</v>
      </c>
      <c r="B258" s="5" t="s">
        <v>43</v>
      </c>
      <c r="C258" s="5">
        <f t="shared" si="3"/>
        <v>0</v>
      </c>
    </row>
    <row r="259" spans="1:3" x14ac:dyDescent="0.3">
      <c r="A259" s="5">
        <v>2</v>
      </c>
      <c r="B259" s="5" t="s">
        <v>43</v>
      </c>
      <c r="C259" s="5">
        <f t="shared" ref="C259:C322" si="4">IF(B259="Yes",1,0)</f>
        <v>0</v>
      </c>
    </row>
    <row r="260" spans="1:3" x14ac:dyDescent="0.3">
      <c r="A260" s="5">
        <v>1</v>
      </c>
      <c r="B260" s="5" t="s">
        <v>43</v>
      </c>
      <c r="C260" s="5">
        <f t="shared" si="4"/>
        <v>0</v>
      </c>
    </row>
    <row r="261" spans="1:3" x14ac:dyDescent="0.3">
      <c r="A261" s="5">
        <v>29</v>
      </c>
      <c r="B261" s="5" t="s">
        <v>35</v>
      </c>
      <c r="C261" s="5">
        <f t="shared" si="4"/>
        <v>1</v>
      </c>
    </row>
    <row r="262" spans="1:3" x14ac:dyDescent="0.3">
      <c r="A262" s="5">
        <v>7</v>
      </c>
      <c r="B262" s="5" t="s">
        <v>43</v>
      </c>
      <c r="C262" s="5">
        <f t="shared" si="4"/>
        <v>0</v>
      </c>
    </row>
    <row r="263" spans="1:3" x14ac:dyDescent="0.3">
      <c r="A263" s="5">
        <v>2</v>
      </c>
      <c r="B263" s="5" t="s">
        <v>43</v>
      </c>
      <c r="C263" s="5">
        <f t="shared" si="4"/>
        <v>0</v>
      </c>
    </row>
    <row r="264" spans="1:3" x14ac:dyDescent="0.3">
      <c r="A264" s="5">
        <v>2</v>
      </c>
      <c r="B264" s="5" t="s">
        <v>43</v>
      </c>
      <c r="C264" s="5">
        <f t="shared" si="4"/>
        <v>0</v>
      </c>
    </row>
    <row r="265" spans="1:3" x14ac:dyDescent="0.3">
      <c r="A265" s="5">
        <v>2</v>
      </c>
      <c r="B265" s="5" t="s">
        <v>43</v>
      </c>
      <c r="C265" s="5">
        <f t="shared" si="4"/>
        <v>0</v>
      </c>
    </row>
    <row r="266" spans="1:3" x14ac:dyDescent="0.3">
      <c r="A266" s="5">
        <v>2</v>
      </c>
      <c r="B266" s="5" t="s">
        <v>35</v>
      </c>
      <c r="C266" s="5">
        <f t="shared" si="4"/>
        <v>1</v>
      </c>
    </row>
    <row r="267" spans="1:3" x14ac:dyDescent="0.3">
      <c r="A267" s="5">
        <v>2</v>
      </c>
      <c r="B267" s="5" t="s">
        <v>43</v>
      </c>
      <c r="C267" s="5">
        <f t="shared" si="4"/>
        <v>0</v>
      </c>
    </row>
    <row r="268" spans="1:3" x14ac:dyDescent="0.3">
      <c r="A268" s="5">
        <v>23</v>
      </c>
      <c r="B268" s="5" t="s">
        <v>43</v>
      </c>
      <c r="C268" s="5">
        <f t="shared" si="4"/>
        <v>0</v>
      </c>
    </row>
    <row r="269" spans="1:3" x14ac:dyDescent="0.3">
      <c r="A269" s="5">
        <v>5</v>
      </c>
      <c r="B269" s="5" t="s">
        <v>43</v>
      </c>
      <c r="C269" s="5">
        <f t="shared" si="4"/>
        <v>0</v>
      </c>
    </row>
    <row r="270" spans="1:3" x14ac:dyDescent="0.3">
      <c r="A270" s="5">
        <v>20</v>
      </c>
      <c r="B270" s="5" t="s">
        <v>43</v>
      </c>
      <c r="C270" s="5">
        <f t="shared" si="4"/>
        <v>0</v>
      </c>
    </row>
    <row r="271" spans="1:3" x14ac:dyDescent="0.3">
      <c r="A271" s="5">
        <v>6</v>
      </c>
      <c r="B271" s="5" t="s">
        <v>43</v>
      </c>
      <c r="C271" s="5">
        <f t="shared" si="4"/>
        <v>0</v>
      </c>
    </row>
    <row r="272" spans="1:3" x14ac:dyDescent="0.3">
      <c r="A272" s="5">
        <v>1</v>
      </c>
      <c r="B272" s="5" t="s">
        <v>43</v>
      </c>
      <c r="C272" s="5">
        <f t="shared" si="4"/>
        <v>0</v>
      </c>
    </row>
    <row r="273" spans="1:3" x14ac:dyDescent="0.3">
      <c r="A273" s="5">
        <v>29</v>
      </c>
      <c r="B273" s="5" t="s">
        <v>35</v>
      </c>
      <c r="C273" s="5">
        <f t="shared" si="4"/>
        <v>1</v>
      </c>
    </row>
    <row r="274" spans="1:3" x14ac:dyDescent="0.3">
      <c r="A274" s="5">
        <v>9</v>
      </c>
      <c r="B274" s="5" t="s">
        <v>43</v>
      </c>
      <c r="C274" s="5">
        <f t="shared" si="4"/>
        <v>0</v>
      </c>
    </row>
    <row r="275" spans="1:3" x14ac:dyDescent="0.3">
      <c r="A275" s="5">
        <v>6</v>
      </c>
      <c r="B275" s="5" t="s">
        <v>43</v>
      </c>
      <c r="C275" s="5">
        <f t="shared" si="4"/>
        <v>0</v>
      </c>
    </row>
    <row r="276" spans="1:3" x14ac:dyDescent="0.3">
      <c r="A276" s="5">
        <v>3</v>
      </c>
      <c r="B276" s="5" t="s">
        <v>43</v>
      </c>
      <c r="C276" s="5">
        <f t="shared" si="4"/>
        <v>0</v>
      </c>
    </row>
    <row r="277" spans="1:3" x14ac:dyDescent="0.3">
      <c r="A277" s="5">
        <v>1</v>
      </c>
      <c r="B277" s="5" t="s">
        <v>43</v>
      </c>
      <c r="C277" s="5">
        <f t="shared" si="4"/>
        <v>0</v>
      </c>
    </row>
    <row r="278" spans="1:3" x14ac:dyDescent="0.3">
      <c r="A278" s="5">
        <v>22</v>
      </c>
      <c r="B278" s="5" t="s">
        <v>43</v>
      </c>
      <c r="C278" s="5">
        <f t="shared" si="4"/>
        <v>0</v>
      </c>
    </row>
    <row r="279" spans="1:3" x14ac:dyDescent="0.3">
      <c r="A279" s="5">
        <v>7</v>
      </c>
      <c r="B279" s="5" t="s">
        <v>43</v>
      </c>
      <c r="C279" s="5">
        <f t="shared" si="4"/>
        <v>0</v>
      </c>
    </row>
    <row r="280" spans="1:3" x14ac:dyDescent="0.3">
      <c r="A280" s="5">
        <v>1</v>
      </c>
      <c r="B280" s="5" t="s">
        <v>43</v>
      </c>
      <c r="C280" s="5">
        <f t="shared" si="4"/>
        <v>0</v>
      </c>
    </row>
    <row r="281" spans="1:3" x14ac:dyDescent="0.3">
      <c r="A281" s="5">
        <v>4</v>
      </c>
      <c r="B281" s="5" t="s">
        <v>43</v>
      </c>
      <c r="C281" s="5">
        <f t="shared" si="4"/>
        <v>0</v>
      </c>
    </row>
    <row r="282" spans="1:3" x14ac:dyDescent="0.3">
      <c r="A282" s="5">
        <v>3</v>
      </c>
      <c r="B282" s="5" t="s">
        <v>43</v>
      </c>
      <c r="C282" s="5">
        <f t="shared" si="4"/>
        <v>0</v>
      </c>
    </row>
    <row r="283" spans="1:3" x14ac:dyDescent="0.3">
      <c r="A283" s="5">
        <v>1</v>
      </c>
      <c r="B283" s="5" t="s">
        <v>43</v>
      </c>
      <c r="C283" s="5">
        <f t="shared" si="4"/>
        <v>0</v>
      </c>
    </row>
    <row r="284" spans="1:3" x14ac:dyDescent="0.3">
      <c r="A284" s="5">
        <v>2</v>
      </c>
      <c r="B284" s="5" t="s">
        <v>43</v>
      </c>
      <c r="C284" s="5">
        <f t="shared" si="4"/>
        <v>0</v>
      </c>
    </row>
    <row r="285" spans="1:3" x14ac:dyDescent="0.3">
      <c r="A285" s="5">
        <v>20</v>
      </c>
      <c r="B285" s="5" t="s">
        <v>43</v>
      </c>
      <c r="C285" s="5">
        <f t="shared" si="4"/>
        <v>0</v>
      </c>
    </row>
    <row r="286" spans="1:3" x14ac:dyDescent="0.3">
      <c r="A286" s="5">
        <v>11</v>
      </c>
      <c r="B286" s="5" t="s">
        <v>43</v>
      </c>
      <c r="C286" s="5">
        <f t="shared" si="4"/>
        <v>0</v>
      </c>
    </row>
    <row r="287" spans="1:3" x14ac:dyDescent="0.3">
      <c r="A287" s="5">
        <v>1</v>
      </c>
      <c r="B287" s="5" t="s">
        <v>43</v>
      </c>
      <c r="C287" s="5">
        <f t="shared" si="4"/>
        <v>0</v>
      </c>
    </row>
    <row r="288" spans="1:3" x14ac:dyDescent="0.3">
      <c r="A288" s="5">
        <v>24</v>
      </c>
      <c r="B288" s="5" t="s">
        <v>35</v>
      </c>
      <c r="C288" s="5">
        <f t="shared" si="4"/>
        <v>1</v>
      </c>
    </row>
    <row r="289" spans="1:3" x14ac:dyDescent="0.3">
      <c r="A289" s="5">
        <v>23</v>
      </c>
      <c r="B289" s="5" t="s">
        <v>43</v>
      </c>
      <c r="C289" s="5">
        <f t="shared" si="4"/>
        <v>0</v>
      </c>
    </row>
    <row r="290" spans="1:3" x14ac:dyDescent="0.3">
      <c r="A290" s="5">
        <v>16</v>
      </c>
      <c r="B290" s="5" t="s">
        <v>35</v>
      </c>
      <c r="C290" s="5">
        <f t="shared" si="4"/>
        <v>1</v>
      </c>
    </row>
    <row r="291" spans="1:3" x14ac:dyDescent="0.3">
      <c r="A291" s="5">
        <v>8</v>
      </c>
      <c r="B291" s="5" t="s">
        <v>43</v>
      </c>
      <c r="C291" s="5">
        <f t="shared" si="4"/>
        <v>0</v>
      </c>
    </row>
    <row r="292" spans="1:3" x14ac:dyDescent="0.3">
      <c r="A292" s="5">
        <v>10</v>
      </c>
      <c r="B292" s="5" t="s">
        <v>43</v>
      </c>
      <c r="C292" s="5">
        <f t="shared" si="4"/>
        <v>0</v>
      </c>
    </row>
    <row r="293" spans="1:3" x14ac:dyDescent="0.3">
      <c r="A293" s="5">
        <v>3</v>
      </c>
      <c r="B293" s="5" t="s">
        <v>43</v>
      </c>
      <c r="C293" s="5">
        <f t="shared" si="4"/>
        <v>0</v>
      </c>
    </row>
    <row r="294" spans="1:3" x14ac:dyDescent="0.3">
      <c r="A294" s="5">
        <v>5</v>
      </c>
      <c r="B294" s="5" t="s">
        <v>43</v>
      </c>
      <c r="C294" s="5">
        <f t="shared" si="4"/>
        <v>0</v>
      </c>
    </row>
    <row r="295" spans="1:3" x14ac:dyDescent="0.3">
      <c r="A295" s="5">
        <v>4</v>
      </c>
      <c r="B295" s="5" t="s">
        <v>35</v>
      </c>
      <c r="C295" s="5">
        <f t="shared" si="4"/>
        <v>1</v>
      </c>
    </row>
    <row r="296" spans="1:3" x14ac:dyDescent="0.3">
      <c r="A296" s="5">
        <v>9</v>
      </c>
      <c r="B296" s="5" t="s">
        <v>43</v>
      </c>
      <c r="C296" s="5">
        <f t="shared" si="4"/>
        <v>0</v>
      </c>
    </row>
    <row r="297" spans="1:3" x14ac:dyDescent="0.3">
      <c r="A297" s="5">
        <v>26</v>
      </c>
      <c r="B297" s="5" t="s">
        <v>43</v>
      </c>
      <c r="C297" s="5">
        <f t="shared" si="4"/>
        <v>0</v>
      </c>
    </row>
    <row r="298" spans="1:3" x14ac:dyDescent="0.3">
      <c r="A298" s="5">
        <v>3</v>
      </c>
      <c r="B298" s="5" t="s">
        <v>35</v>
      </c>
      <c r="C298" s="5">
        <f t="shared" si="4"/>
        <v>1</v>
      </c>
    </row>
    <row r="299" spans="1:3" x14ac:dyDescent="0.3">
      <c r="A299" s="5">
        <v>16</v>
      </c>
      <c r="B299" s="5" t="s">
        <v>43</v>
      </c>
      <c r="C299" s="5">
        <f t="shared" si="4"/>
        <v>0</v>
      </c>
    </row>
    <row r="300" spans="1:3" x14ac:dyDescent="0.3">
      <c r="A300" s="5">
        <v>18</v>
      </c>
      <c r="B300" s="5" t="s">
        <v>43</v>
      </c>
      <c r="C300" s="5">
        <f t="shared" si="4"/>
        <v>0</v>
      </c>
    </row>
    <row r="301" spans="1:3" x14ac:dyDescent="0.3">
      <c r="A301" s="5">
        <v>2</v>
      </c>
      <c r="B301" s="5" t="s">
        <v>43</v>
      </c>
      <c r="C301" s="5">
        <f t="shared" si="4"/>
        <v>0</v>
      </c>
    </row>
    <row r="302" spans="1:3" x14ac:dyDescent="0.3">
      <c r="A302" s="5">
        <v>2</v>
      </c>
      <c r="B302" s="5" t="s">
        <v>43</v>
      </c>
      <c r="C302" s="5">
        <f t="shared" si="4"/>
        <v>0</v>
      </c>
    </row>
    <row r="303" spans="1:3" x14ac:dyDescent="0.3">
      <c r="A303" s="5">
        <v>10</v>
      </c>
      <c r="B303" s="5" t="s">
        <v>43</v>
      </c>
      <c r="C303" s="5">
        <f t="shared" si="4"/>
        <v>0</v>
      </c>
    </row>
    <row r="304" spans="1:3" x14ac:dyDescent="0.3">
      <c r="A304" s="5">
        <v>16</v>
      </c>
      <c r="B304" s="5" t="s">
        <v>43</v>
      </c>
      <c r="C304" s="5">
        <f t="shared" si="4"/>
        <v>0</v>
      </c>
    </row>
    <row r="305" spans="1:3" x14ac:dyDescent="0.3">
      <c r="A305" s="5">
        <v>7</v>
      </c>
      <c r="B305" s="5" t="s">
        <v>43</v>
      </c>
      <c r="C305" s="5">
        <f t="shared" si="4"/>
        <v>0</v>
      </c>
    </row>
    <row r="306" spans="1:3" x14ac:dyDescent="0.3">
      <c r="A306" s="5">
        <v>1</v>
      </c>
      <c r="B306" s="5" t="s">
        <v>43</v>
      </c>
      <c r="C306" s="5">
        <f t="shared" si="4"/>
        <v>0</v>
      </c>
    </row>
    <row r="307" spans="1:3" x14ac:dyDescent="0.3">
      <c r="A307" s="5">
        <v>24</v>
      </c>
      <c r="B307" s="5" t="s">
        <v>43</v>
      </c>
      <c r="C307" s="5">
        <f t="shared" si="4"/>
        <v>0</v>
      </c>
    </row>
    <row r="308" spans="1:3" x14ac:dyDescent="0.3">
      <c r="A308" s="5">
        <v>7</v>
      </c>
      <c r="B308" s="5" t="s">
        <v>43</v>
      </c>
      <c r="C308" s="5">
        <f t="shared" si="4"/>
        <v>0</v>
      </c>
    </row>
    <row r="309" spans="1:3" x14ac:dyDescent="0.3">
      <c r="A309" s="5">
        <v>25</v>
      </c>
      <c r="B309" s="5" t="s">
        <v>43</v>
      </c>
      <c r="C309" s="5">
        <f t="shared" si="4"/>
        <v>0</v>
      </c>
    </row>
    <row r="310" spans="1:3" x14ac:dyDescent="0.3">
      <c r="A310" s="5">
        <v>1</v>
      </c>
      <c r="B310" s="5" t="s">
        <v>43</v>
      </c>
      <c r="C310" s="5">
        <f t="shared" si="4"/>
        <v>0</v>
      </c>
    </row>
    <row r="311" spans="1:3" x14ac:dyDescent="0.3">
      <c r="A311" s="5">
        <v>5</v>
      </c>
      <c r="B311" s="5" t="s">
        <v>43</v>
      </c>
      <c r="C311" s="5">
        <f t="shared" si="4"/>
        <v>0</v>
      </c>
    </row>
    <row r="312" spans="1:3" x14ac:dyDescent="0.3">
      <c r="A312" s="5">
        <v>2</v>
      </c>
      <c r="B312" s="5" t="s">
        <v>43</v>
      </c>
      <c r="C312" s="5">
        <f t="shared" si="4"/>
        <v>0</v>
      </c>
    </row>
    <row r="313" spans="1:3" x14ac:dyDescent="0.3">
      <c r="A313" s="5">
        <v>7</v>
      </c>
      <c r="B313" s="5" t="s">
        <v>43</v>
      </c>
      <c r="C313" s="5">
        <f t="shared" si="4"/>
        <v>0</v>
      </c>
    </row>
    <row r="314" spans="1:3" x14ac:dyDescent="0.3">
      <c r="A314" s="5">
        <v>2</v>
      </c>
      <c r="B314" s="5" t="s">
        <v>43</v>
      </c>
      <c r="C314" s="5">
        <f t="shared" si="4"/>
        <v>0</v>
      </c>
    </row>
    <row r="315" spans="1:3" x14ac:dyDescent="0.3">
      <c r="A315" s="5">
        <v>5</v>
      </c>
      <c r="B315" s="5" t="s">
        <v>43</v>
      </c>
      <c r="C315" s="5">
        <f t="shared" si="4"/>
        <v>0</v>
      </c>
    </row>
    <row r="316" spans="1:3" x14ac:dyDescent="0.3">
      <c r="A316" s="5">
        <v>10</v>
      </c>
      <c r="B316" s="5" t="s">
        <v>43</v>
      </c>
      <c r="C316" s="5">
        <f t="shared" si="4"/>
        <v>0</v>
      </c>
    </row>
    <row r="317" spans="1:3" x14ac:dyDescent="0.3">
      <c r="A317" s="5">
        <v>10</v>
      </c>
      <c r="B317" s="5" t="s">
        <v>43</v>
      </c>
      <c r="C317" s="5">
        <f t="shared" si="4"/>
        <v>0</v>
      </c>
    </row>
    <row r="318" spans="1:3" x14ac:dyDescent="0.3">
      <c r="A318" s="5">
        <v>1</v>
      </c>
      <c r="B318" s="5" t="s">
        <v>43</v>
      </c>
      <c r="C318" s="5">
        <f t="shared" si="4"/>
        <v>0</v>
      </c>
    </row>
    <row r="319" spans="1:3" x14ac:dyDescent="0.3">
      <c r="A319" s="5">
        <v>8</v>
      </c>
      <c r="B319" s="5" t="s">
        <v>35</v>
      </c>
      <c r="C319" s="5">
        <f t="shared" si="4"/>
        <v>1</v>
      </c>
    </row>
    <row r="320" spans="1:3" x14ac:dyDescent="0.3">
      <c r="A320" s="5">
        <v>5</v>
      </c>
      <c r="B320" s="5" t="s">
        <v>43</v>
      </c>
      <c r="C320" s="5">
        <f t="shared" si="4"/>
        <v>0</v>
      </c>
    </row>
    <row r="321" spans="1:3" x14ac:dyDescent="0.3">
      <c r="A321" s="5">
        <v>8</v>
      </c>
      <c r="B321" s="5" t="s">
        <v>43</v>
      </c>
      <c r="C321" s="5">
        <f t="shared" si="4"/>
        <v>0</v>
      </c>
    </row>
    <row r="322" spans="1:3" x14ac:dyDescent="0.3">
      <c r="A322" s="5">
        <v>2</v>
      </c>
      <c r="B322" s="5" t="s">
        <v>43</v>
      </c>
      <c r="C322" s="5">
        <f t="shared" si="4"/>
        <v>0</v>
      </c>
    </row>
    <row r="323" spans="1:3" x14ac:dyDescent="0.3">
      <c r="A323" s="5">
        <v>7</v>
      </c>
      <c r="B323" s="5" t="s">
        <v>43</v>
      </c>
      <c r="C323" s="5">
        <f t="shared" ref="C323:C386" si="5">IF(B323="Yes",1,0)</f>
        <v>0</v>
      </c>
    </row>
    <row r="324" spans="1:3" x14ac:dyDescent="0.3">
      <c r="A324" s="5">
        <v>2</v>
      </c>
      <c r="B324" s="5" t="s">
        <v>43</v>
      </c>
      <c r="C324" s="5">
        <f t="shared" si="5"/>
        <v>0</v>
      </c>
    </row>
    <row r="325" spans="1:3" x14ac:dyDescent="0.3">
      <c r="A325" s="5">
        <v>2</v>
      </c>
      <c r="B325" s="5" t="s">
        <v>35</v>
      </c>
      <c r="C325" s="5">
        <f t="shared" si="5"/>
        <v>1</v>
      </c>
    </row>
    <row r="326" spans="1:3" x14ac:dyDescent="0.3">
      <c r="A326" s="5">
        <v>28</v>
      </c>
      <c r="B326" s="5" t="s">
        <v>43</v>
      </c>
      <c r="C326" s="5">
        <f t="shared" si="5"/>
        <v>0</v>
      </c>
    </row>
    <row r="327" spans="1:3" x14ac:dyDescent="0.3">
      <c r="A327" s="5">
        <v>7</v>
      </c>
      <c r="B327" s="5" t="s">
        <v>43</v>
      </c>
      <c r="C327" s="5">
        <f t="shared" si="5"/>
        <v>0</v>
      </c>
    </row>
    <row r="328" spans="1:3" x14ac:dyDescent="0.3">
      <c r="A328" s="5">
        <v>7</v>
      </c>
      <c r="B328" s="5" t="s">
        <v>43</v>
      </c>
      <c r="C328" s="5">
        <f t="shared" si="5"/>
        <v>0</v>
      </c>
    </row>
    <row r="329" spans="1:3" x14ac:dyDescent="0.3">
      <c r="A329" s="5">
        <v>3</v>
      </c>
      <c r="B329" s="5" t="s">
        <v>35</v>
      </c>
      <c r="C329" s="5">
        <f t="shared" si="5"/>
        <v>1</v>
      </c>
    </row>
    <row r="330" spans="1:3" x14ac:dyDescent="0.3">
      <c r="A330" s="5">
        <v>10</v>
      </c>
      <c r="B330" s="5" t="s">
        <v>43</v>
      </c>
      <c r="C330" s="5">
        <f t="shared" si="5"/>
        <v>0</v>
      </c>
    </row>
    <row r="331" spans="1:3" x14ac:dyDescent="0.3">
      <c r="A331" s="5">
        <v>5</v>
      </c>
      <c r="B331" s="5" t="s">
        <v>43</v>
      </c>
      <c r="C331" s="5">
        <f t="shared" si="5"/>
        <v>0</v>
      </c>
    </row>
    <row r="332" spans="1:3" x14ac:dyDescent="0.3">
      <c r="A332" s="5">
        <v>10</v>
      </c>
      <c r="B332" s="5" t="s">
        <v>43</v>
      </c>
      <c r="C332" s="5">
        <f t="shared" si="5"/>
        <v>0</v>
      </c>
    </row>
    <row r="333" spans="1:3" x14ac:dyDescent="0.3">
      <c r="A333" s="5">
        <v>1</v>
      </c>
      <c r="B333" s="5" t="s">
        <v>43</v>
      </c>
      <c r="C333" s="5">
        <f t="shared" si="5"/>
        <v>0</v>
      </c>
    </row>
    <row r="334" spans="1:3" x14ac:dyDescent="0.3">
      <c r="A334" s="5">
        <v>20</v>
      </c>
      <c r="B334" s="5" t="s">
        <v>43</v>
      </c>
      <c r="C334" s="5">
        <f t="shared" si="5"/>
        <v>0</v>
      </c>
    </row>
    <row r="335" spans="1:3" x14ac:dyDescent="0.3">
      <c r="A335" s="5">
        <v>7</v>
      </c>
      <c r="B335" s="5" t="s">
        <v>43</v>
      </c>
      <c r="C335" s="5">
        <f t="shared" si="5"/>
        <v>0</v>
      </c>
    </row>
    <row r="336" spans="1:3" x14ac:dyDescent="0.3">
      <c r="A336" s="5">
        <v>8</v>
      </c>
      <c r="B336" s="5" t="s">
        <v>43</v>
      </c>
      <c r="C336" s="5">
        <f t="shared" si="5"/>
        <v>0</v>
      </c>
    </row>
    <row r="337" spans="1:3" x14ac:dyDescent="0.3">
      <c r="A337" s="5">
        <v>1</v>
      </c>
      <c r="B337" s="5" t="s">
        <v>43</v>
      </c>
      <c r="C337" s="5">
        <f t="shared" si="5"/>
        <v>0</v>
      </c>
    </row>
    <row r="338" spans="1:3" x14ac:dyDescent="0.3">
      <c r="A338" s="5">
        <v>8</v>
      </c>
      <c r="B338" s="5" t="s">
        <v>35</v>
      </c>
      <c r="C338" s="5">
        <f t="shared" si="5"/>
        <v>1</v>
      </c>
    </row>
    <row r="339" spans="1:3" x14ac:dyDescent="0.3">
      <c r="A339" s="5">
        <v>9</v>
      </c>
      <c r="B339" s="5" t="s">
        <v>43</v>
      </c>
      <c r="C339" s="5">
        <f t="shared" si="5"/>
        <v>0</v>
      </c>
    </row>
    <row r="340" spans="1:3" x14ac:dyDescent="0.3">
      <c r="A340" s="5">
        <v>5</v>
      </c>
      <c r="B340" s="5" t="s">
        <v>43</v>
      </c>
      <c r="C340" s="5">
        <f t="shared" si="5"/>
        <v>0</v>
      </c>
    </row>
    <row r="341" spans="1:3" x14ac:dyDescent="0.3">
      <c r="A341" s="5">
        <v>8</v>
      </c>
      <c r="B341" s="5" t="s">
        <v>43</v>
      </c>
      <c r="C341" s="5">
        <f t="shared" si="5"/>
        <v>0</v>
      </c>
    </row>
    <row r="342" spans="1:3" x14ac:dyDescent="0.3">
      <c r="A342" s="5">
        <v>5</v>
      </c>
      <c r="B342" s="5" t="s">
        <v>43</v>
      </c>
      <c r="C342" s="5">
        <f t="shared" si="5"/>
        <v>0</v>
      </c>
    </row>
    <row r="343" spans="1:3" x14ac:dyDescent="0.3">
      <c r="A343" s="5">
        <v>15</v>
      </c>
      <c r="B343" s="5" t="s">
        <v>43</v>
      </c>
      <c r="C343" s="5">
        <f t="shared" si="5"/>
        <v>0</v>
      </c>
    </row>
    <row r="344" spans="1:3" x14ac:dyDescent="0.3">
      <c r="A344" s="5">
        <v>7</v>
      </c>
      <c r="B344" s="5" t="s">
        <v>43</v>
      </c>
      <c r="C344" s="5">
        <f t="shared" si="5"/>
        <v>0</v>
      </c>
    </row>
    <row r="345" spans="1:3" x14ac:dyDescent="0.3">
      <c r="A345" s="5">
        <v>10</v>
      </c>
      <c r="B345" s="5" t="s">
        <v>43</v>
      </c>
      <c r="C345" s="5">
        <f t="shared" si="5"/>
        <v>0</v>
      </c>
    </row>
    <row r="346" spans="1:3" x14ac:dyDescent="0.3">
      <c r="A346" s="5">
        <v>5</v>
      </c>
      <c r="B346" s="5" t="s">
        <v>43</v>
      </c>
      <c r="C346" s="5">
        <f t="shared" si="5"/>
        <v>0</v>
      </c>
    </row>
    <row r="347" spans="1:3" x14ac:dyDescent="0.3">
      <c r="A347" s="5">
        <v>26</v>
      </c>
      <c r="B347" s="5" t="s">
        <v>43</v>
      </c>
      <c r="C347" s="5">
        <f t="shared" si="5"/>
        <v>0</v>
      </c>
    </row>
    <row r="348" spans="1:3" x14ac:dyDescent="0.3">
      <c r="A348" s="5">
        <v>6</v>
      </c>
      <c r="B348" s="5" t="s">
        <v>43</v>
      </c>
      <c r="C348" s="5">
        <f t="shared" si="5"/>
        <v>0</v>
      </c>
    </row>
    <row r="349" spans="1:3" x14ac:dyDescent="0.3">
      <c r="A349" s="5">
        <v>4</v>
      </c>
      <c r="B349" s="5" t="s">
        <v>43</v>
      </c>
      <c r="C349" s="5">
        <f t="shared" si="5"/>
        <v>0</v>
      </c>
    </row>
    <row r="350" spans="1:3" x14ac:dyDescent="0.3">
      <c r="A350" s="5">
        <v>23</v>
      </c>
      <c r="B350" s="5" t="s">
        <v>43</v>
      </c>
      <c r="C350" s="5">
        <f t="shared" si="5"/>
        <v>0</v>
      </c>
    </row>
    <row r="351" spans="1:3" x14ac:dyDescent="0.3">
      <c r="A351" s="5">
        <v>2</v>
      </c>
      <c r="B351" s="5" t="s">
        <v>43</v>
      </c>
      <c r="C351" s="5">
        <f t="shared" si="5"/>
        <v>0</v>
      </c>
    </row>
    <row r="352" spans="1:3" x14ac:dyDescent="0.3">
      <c r="A352" s="5">
        <v>2</v>
      </c>
      <c r="B352" s="5" t="s">
        <v>43</v>
      </c>
      <c r="C352" s="5">
        <f t="shared" si="5"/>
        <v>0</v>
      </c>
    </row>
    <row r="353" spans="1:3" x14ac:dyDescent="0.3">
      <c r="A353" s="5">
        <v>2</v>
      </c>
      <c r="B353" s="5" t="s">
        <v>43</v>
      </c>
      <c r="C353" s="5">
        <f t="shared" si="5"/>
        <v>0</v>
      </c>
    </row>
    <row r="354" spans="1:3" x14ac:dyDescent="0.3">
      <c r="A354" s="5">
        <v>29</v>
      </c>
      <c r="B354" s="5" t="s">
        <v>43</v>
      </c>
      <c r="C354" s="5">
        <f t="shared" si="5"/>
        <v>0</v>
      </c>
    </row>
    <row r="355" spans="1:3" x14ac:dyDescent="0.3">
      <c r="A355" s="5">
        <v>6</v>
      </c>
      <c r="B355" s="5" t="s">
        <v>43</v>
      </c>
      <c r="C355" s="5">
        <f t="shared" si="5"/>
        <v>0</v>
      </c>
    </row>
    <row r="356" spans="1:3" x14ac:dyDescent="0.3">
      <c r="A356" s="5">
        <v>25</v>
      </c>
      <c r="B356" s="5" t="s">
        <v>43</v>
      </c>
      <c r="C356" s="5">
        <f t="shared" si="5"/>
        <v>0</v>
      </c>
    </row>
    <row r="357" spans="1:3" x14ac:dyDescent="0.3">
      <c r="A357" s="5">
        <v>1</v>
      </c>
      <c r="B357" s="5" t="s">
        <v>43</v>
      </c>
      <c r="C357" s="5">
        <f t="shared" si="5"/>
        <v>0</v>
      </c>
    </row>
    <row r="358" spans="1:3" x14ac:dyDescent="0.3">
      <c r="A358" s="5">
        <v>2</v>
      </c>
      <c r="B358" s="5" t="s">
        <v>43</v>
      </c>
      <c r="C358" s="5">
        <f t="shared" si="5"/>
        <v>0</v>
      </c>
    </row>
    <row r="359" spans="1:3" x14ac:dyDescent="0.3">
      <c r="A359" s="5">
        <v>1</v>
      </c>
      <c r="B359" s="5" t="s">
        <v>35</v>
      </c>
      <c r="C359" s="5">
        <f t="shared" si="5"/>
        <v>1</v>
      </c>
    </row>
    <row r="360" spans="1:3" x14ac:dyDescent="0.3">
      <c r="A360" s="5">
        <v>1</v>
      </c>
      <c r="B360" s="5" t="s">
        <v>43</v>
      </c>
      <c r="C360" s="5">
        <f t="shared" si="5"/>
        <v>0</v>
      </c>
    </row>
    <row r="361" spans="1:3" x14ac:dyDescent="0.3">
      <c r="A361" s="5">
        <v>3</v>
      </c>
      <c r="B361" s="5" t="s">
        <v>43</v>
      </c>
      <c r="C361" s="5">
        <f t="shared" si="5"/>
        <v>0</v>
      </c>
    </row>
    <row r="362" spans="1:3" x14ac:dyDescent="0.3">
      <c r="A362" s="5">
        <v>1</v>
      </c>
      <c r="B362" s="5" t="s">
        <v>43</v>
      </c>
      <c r="C362" s="5">
        <f t="shared" si="5"/>
        <v>0</v>
      </c>
    </row>
    <row r="363" spans="1:3" x14ac:dyDescent="0.3">
      <c r="A363" s="5">
        <v>10</v>
      </c>
      <c r="B363" s="5" t="s">
        <v>43</v>
      </c>
      <c r="C363" s="5">
        <f t="shared" si="5"/>
        <v>0</v>
      </c>
    </row>
    <row r="364" spans="1:3" x14ac:dyDescent="0.3">
      <c r="A364" s="5">
        <v>9</v>
      </c>
      <c r="B364" s="5" t="s">
        <v>43</v>
      </c>
      <c r="C364" s="5">
        <f t="shared" si="5"/>
        <v>0</v>
      </c>
    </row>
    <row r="365" spans="1:3" x14ac:dyDescent="0.3">
      <c r="A365" s="5">
        <v>5</v>
      </c>
      <c r="B365" s="5" t="s">
        <v>35</v>
      </c>
      <c r="C365" s="5">
        <f t="shared" si="5"/>
        <v>1</v>
      </c>
    </row>
    <row r="366" spans="1:3" x14ac:dyDescent="0.3">
      <c r="A366" s="5">
        <v>10</v>
      </c>
      <c r="B366" s="5" t="s">
        <v>43</v>
      </c>
      <c r="C366" s="5">
        <f t="shared" si="5"/>
        <v>0</v>
      </c>
    </row>
    <row r="367" spans="1:3" x14ac:dyDescent="0.3">
      <c r="A367" s="5">
        <v>7</v>
      </c>
      <c r="B367" s="5" t="s">
        <v>43</v>
      </c>
      <c r="C367" s="5">
        <f t="shared" si="5"/>
        <v>0</v>
      </c>
    </row>
    <row r="368" spans="1:3" x14ac:dyDescent="0.3">
      <c r="A368" s="5">
        <v>4</v>
      </c>
      <c r="B368" s="5" t="s">
        <v>35</v>
      </c>
      <c r="C368" s="5">
        <f t="shared" si="5"/>
        <v>1</v>
      </c>
    </row>
    <row r="369" spans="1:3" x14ac:dyDescent="0.3">
      <c r="A369" s="5">
        <v>10</v>
      </c>
      <c r="B369" s="5" t="s">
        <v>43</v>
      </c>
      <c r="C369" s="5">
        <f t="shared" si="5"/>
        <v>0</v>
      </c>
    </row>
    <row r="370" spans="1:3" x14ac:dyDescent="0.3">
      <c r="A370" s="5">
        <v>22</v>
      </c>
      <c r="B370" s="5" t="s">
        <v>35</v>
      </c>
      <c r="C370" s="5">
        <f t="shared" si="5"/>
        <v>1</v>
      </c>
    </row>
    <row r="371" spans="1:3" x14ac:dyDescent="0.3">
      <c r="A371" s="5">
        <v>9</v>
      </c>
      <c r="B371" s="5" t="s">
        <v>43</v>
      </c>
      <c r="C371" s="5">
        <f t="shared" si="5"/>
        <v>0</v>
      </c>
    </row>
    <row r="372" spans="1:3" x14ac:dyDescent="0.3">
      <c r="A372" s="5">
        <v>12</v>
      </c>
      <c r="B372" s="5" t="s">
        <v>35</v>
      </c>
      <c r="C372" s="5">
        <f t="shared" si="5"/>
        <v>1</v>
      </c>
    </row>
    <row r="373" spans="1:3" x14ac:dyDescent="0.3">
      <c r="A373" s="5">
        <v>23</v>
      </c>
      <c r="B373" s="5" t="s">
        <v>43</v>
      </c>
      <c r="C373" s="5">
        <f t="shared" si="5"/>
        <v>0</v>
      </c>
    </row>
    <row r="374" spans="1:3" x14ac:dyDescent="0.3">
      <c r="A374" s="5">
        <v>9</v>
      </c>
      <c r="B374" s="5" t="s">
        <v>43</v>
      </c>
      <c r="C374" s="5">
        <f t="shared" si="5"/>
        <v>0</v>
      </c>
    </row>
    <row r="375" spans="1:3" x14ac:dyDescent="0.3">
      <c r="A375" s="5">
        <v>1</v>
      </c>
      <c r="B375" s="5" t="s">
        <v>43</v>
      </c>
      <c r="C375" s="5">
        <f t="shared" si="5"/>
        <v>0</v>
      </c>
    </row>
    <row r="376" spans="1:3" x14ac:dyDescent="0.3">
      <c r="A376" s="5">
        <v>9</v>
      </c>
      <c r="B376" s="5" t="s">
        <v>43</v>
      </c>
      <c r="C376" s="5">
        <f t="shared" si="5"/>
        <v>0</v>
      </c>
    </row>
    <row r="377" spans="1:3" x14ac:dyDescent="0.3">
      <c r="A377" s="5">
        <v>7</v>
      </c>
      <c r="B377" s="5" t="s">
        <v>43</v>
      </c>
      <c r="C377" s="5">
        <f t="shared" si="5"/>
        <v>0</v>
      </c>
    </row>
    <row r="378" spans="1:3" x14ac:dyDescent="0.3">
      <c r="A378" s="5">
        <v>14</v>
      </c>
      <c r="B378" s="5" t="s">
        <v>43</v>
      </c>
      <c r="C378" s="5">
        <f t="shared" si="5"/>
        <v>0</v>
      </c>
    </row>
    <row r="379" spans="1:3" x14ac:dyDescent="0.3">
      <c r="A379" s="5">
        <v>2</v>
      </c>
      <c r="B379" s="5" t="s">
        <v>43</v>
      </c>
      <c r="C379" s="5">
        <f t="shared" si="5"/>
        <v>0</v>
      </c>
    </row>
    <row r="380" spans="1:3" x14ac:dyDescent="0.3">
      <c r="A380" s="5">
        <v>19</v>
      </c>
      <c r="B380" s="5" t="s">
        <v>35</v>
      </c>
      <c r="C380" s="5">
        <f t="shared" si="5"/>
        <v>1</v>
      </c>
    </row>
    <row r="381" spans="1:3" x14ac:dyDescent="0.3">
      <c r="A381" s="5">
        <v>2</v>
      </c>
      <c r="B381" s="5" t="s">
        <v>43</v>
      </c>
      <c r="C381" s="5">
        <f t="shared" si="5"/>
        <v>0</v>
      </c>
    </row>
    <row r="382" spans="1:3" x14ac:dyDescent="0.3">
      <c r="A382" s="5">
        <v>10</v>
      </c>
      <c r="B382" s="5" t="s">
        <v>43</v>
      </c>
      <c r="C382" s="5">
        <f t="shared" si="5"/>
        <v>0</v>
      </c>
    </row>
    <row r="383" spans="1:3" x14ac:dyDescent="0.3">
      <c r="A383" s="5">
        <v>2</v>
      </c>
      <c r="B383" s="5" t="s">
        <v>43</v>
      </c>
      <c r="C383" s="5">
        <f t="shared" si="5"/>
        <v>0</v>
      </c>
    </row>
    <row r="384" spans="1:3" x14ac:dyDescent="0.3">
      <c r="A384" s="5">
        <v>3</v>
      </c>
      <c r="B384" s="5" t="s">
        <v>35</v>
      </c>
      <c r="C384" s="5">
        <f t="shared" si="5"/>
        <v>1</v>
      </c>
    </row>
    <row r="385" spans="1:3" x14ac:dyDescent="0.3">
      <c r="A385" s="5">
        <v>11</v>
      </c>
      <c r="B385" s="5" t="s">
        <v>43</v>
      </c>
      <c r="C385" s="5">
        <f t="shared" si="5"/>
        <v>0</v>
      </c>
    </row>
    <row r="386" spans="1:3" x14ac:dyDescent="0.3">
      <c r="A386" s="5">
        <v>2</v>
      </c>
      <c r="B386" s="5" t="s">
        <v>43</v>
      </c>
      <c r="C386" s="5">
        <f t="shared" si="5"/>
        <v>0</v>
      </c>
    </row>
    <row r="387" spans="1:3" x14ac:dyDescent="0.3">
      <c r="A387" s="5">
        <v>4</v>
      </c>
      <c r="B387" s="5" t="s">
        <v>35</v>
      </c>
      <c r="C387" s="5">
        <f t="shared" ref="C387:C450" si="6">IF(B387="Yes",1,0)</f>
        <v>1</v>
      </c>
    </row>
    <row r="388" spans="1:3" x14ac:dyDescent="0.3">
      <c r="A388" s="5">
        <v>14</v>
      </c>
      <c r="B388" s="5" t="s">
        <v>43</v>
      </c>
      <c r="C388" s="5">
        <f t="shared" si="6"/>
        <v>0</v>
      </c>
    </row>
    <row r="389" spans="1:3" x14ac:dyDescent="0.3">
      <c r="A389" s="5">
        <v>2</v>
      </c>
      <c r="B389" s="5" t="s">
        <v>43</v>
      </c>
      <c r="C389" s="5">
        <f t="shared" si="6"/>
        <v>0</v>
      </c>
    </row>
    <row r="390" spans="1:3" x14ac:dyDescent="0.3">
      <c r="A390" s="5">
        <v>1</v>
      </c>
      <c r="B390" s="5" t="s">
        <v>43</v>
      </c>
      <c r="C390" s="5">
        <f t="shared" si="6"/>
        <v>0</v>
      </c>
    </row>
    <row r="391" spans="1:3" x14ac:dyDescent="0.3">
      <c r="A391" s="5">
        <v>10</v>
      </c>
      <c r="B391" s="5" t="s">
        <v>43</v>
      </c>
      <c r="C391" s="5">
        <f t="shared" si="6"/>
        <v>0</v>
      </c>
    </row>
    <row r="392" spans="1:3" x14ac:dyDescent="0.3">
      <c r="A392" s="5">
        <v>12</v>
      </c>
      <c r="B392" s="5" t="s">
        <v>43</v>
      </c>
      <c r="C392" s="5">
        <f t="shared" si="6"/>
        <v>0</v>
      </c>
    </row>
    <row r="393" spans="1:3" x14ac:dyDescent="0.3">
      <c r="A393" s="5">
        <v>2</v>
      </c>
      <c r="B393" s="5" t="s">
        <v>43</v>
      </c>
      <c r="C393" s="5">
        <f t="shared" si="6"/>
        <v>0</v>
      </c>
    </row>
    <row r="394" spans="1:3" x14ac:dyDescent="0.3">
      <c r="A394" s="5">
        <v>5</v>
      </c>
      <c r="B394" s="5" t="s">
        <v>43</v>
      </c>
      <c r="C394" s="5">
        <f t="shared" si="6"/>
        <v>0</v>
      </c>
    </row>
    <row r="395" spans="1:3" x14ac:dyDescent="0.3">
      <c r="A395" s="5">
        <v>4</v>
      </c>
      <c r="B395" s="5" t="s">
        <v>43</v>
      </c>
      <c r="C395" s="5">
        <f t="shared" si="6"/>
        <v>0</v>
      </c>
    </row>
    <row r="396" spans="1:3" x14ac:dyDescent="0.3">
      <c r="A396" s="5">
        <v>7</v>
      </c>
      <c r="B396" s="5" t="s">
        <v>43</v>
      </c>
      <c r="C396" s="5">
        <f t="shared" si="6"/>
        <v>0</v>
      </c>
    </row>
    <row r="397" spans="1:3" x14ac:dyDescent="0.3">
      <c r="A397" s="5">
        <v>21</v>
      </c>
      <c r="B397" s="5" t="s">
        <v>43</v>
      </c>
      <c r="C397" s="5">
        <f t="shared" si="6"/>
        <v>0</v>
      </c>
    </row>
    <row r="398" spans="1:3" x14ac:dyDescent="0.3">
      <c r="A398" s="5">
        <v>8</v>
      </c>
      <c r="B398" s="5" t="s">
        <v>43</v>
      </c>
      <c r="C398" s="5">
        <f t="shared" si="6"/>
        <v>0</v>
      </c>
    </row>
    <row r="399" spans="1:3" x14ac:dyDescent="0.3">
      <c r="A399" s="5">
        <v>4</v>
      </c>
      <c r="B399" s="5" t="s">
        <v>43</v>
      </c>
      <c r="C399" s="5">
        <f t="shared" si="6"/>
        <v>0</v>
      </c>
    </row>
    <row r="400" spans="1:3" x14ac:dyDescent="0.3">
      <c r="A400" s="5">
        <v>25</v>
      </c>
      <c r="B400" s="5" t="s">
        <v>43</v>
      </c>
      <c r="C400" s="5">
        <f t="shared" si="6"/>
        <v>0</v>
      </c>
    </row>
    <row r="401" spans="1:3" x14ac:dyDescent="0.3">
      <c r="A401" s="5">
        <v>1</v>
      </c>
      <c r="B401" s="5" t="s">
        <v>43</v>
      </c>
      <c r="C401" s="5">
        <f t="shared" si="6"/>
        <v>0</v>
      </c>
    </row>
    <row r="402" spans="1:3" x14ac:dyDescent="0.3">
      <c r="A402" s="5">
        <v>1</v>
      </c>
      <c r="B402" s="5" t="s">
        <v>43</v>
      </c>
      <c r="C402" s="5">
        <f t="shared" si="6"/>
        <v>0</v>
      </c>
    </row>
    <row r="403" spans="1:3" x14ac:dyDescent="0.3">
      <c r="A403" s="5">
        <v>6</v>
      </c>
      <c r="B403" s="5" t="s">
        <v>43</v>
      </c>
      <c r="C403" s="5">
        <f t="shared" si="6"/>
        <v>0</v>
      </c>
    </row>
    <row r="404" spans="1:3" x14ac:dyDescent="0.3">
      <c r="A404" s="5">
        <v>12</v>
      </c>
      <c r="B404" s="5" t="s">
        <v>43</v>
      </c>
      <c r="C404" s="5">
        <f t="shared" si="6"/>
        <v>0</v>
      </c>
    </row>
    <row r="405" spans="1:3" x14ac:dyDescent="0.3">
      <c r="A405" s="5">
        <v>1</v>
      </c>
      <c r="B405" s="5" t="s">
        <v>43</v>
      </c>
      <c r="C405" s="5">
        <f t="shared" si="6"/>
        <v>0</v>
      </c>
    </row>
    <row r="406" spans="1:3" x14ac:dyDescent="0.3">
      <c r="A406" s="5">
        <v>17</v>
      </c>
      <c r="B406" s="5" t="s">
        <v>43</v>
      </c>
      <c r="C406" s="5">
        <f t="shared" si="6"/>
        <v>0</v>
      </c>
    </row>
    <row r="407" spans="1:3" x14ac:dyDescent="0.3">
      <c r="A407" s="5">
        <v>3</v>
      </c>
      <c r="B407" s="5" t="s">
        <v>35</v>
      </c>
      <c r="C407" s="5">
        <f t="shared" si="6"/>
        <v>1</v>
      </c>
    </row>
    <row r="408" spans="1:3" x14ac:dyDescent="0.3">
      <c r="A408" s="5">
        <v>3</v>
      </c>
      <c r="B408" s="5" t="s">
        <v>43</v>
      </c>
      <c r="C408" s="5">
        <f t="shared" si="6"/>
        <v>0</v>
      </c>
    </row>
    <row r="409" spans="1:3" x14ac:dyDescent="0.3">
      <c r="A409" s="5">
        <v>10</v>
      </c>
      <c r="B409" s="5" t="s">
        <v>43</v>
      </c>
      <c r="C409" s="5">
        <f t="shared" si="6"/>
        <v>0</v>
      </c>
    </row>
    <row r="410" spans="1:3" x14ac:dyDescent="0.3">
      <c r="A410" s="5">
        <v>4</v>
      </c>
      <c r="B410" s="5" t="s">
        <v>43</v>
      </c>
      <c r="C410" s="5">
        <f t="shared" si="6"/>
        <v>0</v>
      </c>
    </row>
    <row r="411" spans="1:3" x14ac:dyDescent="0.3">
      <c r="A411" s="5">
        <v>29</v>
      </c>
      <c r="B411" s="5" t="s">
        <v>43</v>
      </c>
      <c r="C411" s="5">
        <f t="shared" si="6"/>
        <v>0</v>
      </c>
    </row>
    <row r="412" spans="1:3" x14ac:dyDescent="0.3">
      <c r="A412" s="5">
        <v>2</v>
      </c>
      <c r="B412" s="5" t="s">
        <v>43</v>
      </c>
      <c r="C412" s="5">
        <f t="shared" si="6"/>
        <v>0</v>
      </c>
    </row>
    <row r="413" spans="1:3" x14ac:dyDescent="0.3">
      <c r="A413" s="5">
        <v>7</v>
      </c>
      <c r="B413" s="5" t="s">
        <v>43</v>
      </c>
      <c r="C413" s="5">
        <f t="shared" si="6"/>
        <v>0</v>
      </c>
    </row>
    <row r="414" spans="1:3" x14ac:dyDescent="0.3">
      <c r="A414" s="5">
        <v>18</v>
      </c>
      <c r="B414" s="5" t="s">
        <v>43</v>
      </c>
      <c r="C414" s="5">
        <f t="shared" si="6"/>
        <v>0</v>
      </c>
    </row>
    <row r="415" spans="1:3" x14ac:dyDescent="0.3">
      <c r="A415" s="5">
        <v>28</v>
      </c>
      <c r="B415" s="5" t="s">
        <v>43</v>
      </c>
      <c r="C415" s="5">
        <f t="shared" si="6"/>
        <v>0</v>
      </c>
    </row>
    <row r="416" spans="1:3" x14ac:dyDescent="0.3">
      <c r="A416" s="5">
        <v>1</v>
      </c>
      <c r="B416" s="5" t="s">
        <v>35</v>
      </c>
      <c r="C416" s="5">
        <f t="shared" si="6"/>
        <v>1</v>
      </c>
    </row>
    <row r="417" spans="1:3" x14ac:dyDescent="0.3">
      <c r="A417" s="5">
        <v>6</v>
      </c>
      <c r="B417" s="5" t="s">
        <v>35</v>
      </c>
      <c r="C417" s="5">
        <f t="shared" si="6"/>
        <v>1</v>
      </c>
    </row>
    <row r="418" spans="1:3" x14ac:dyDescent="0.3">
      <c r="A418" s="5">
        <v>2</v>
      </c>
      <c r="B418" s="5" t="s">
        <v>43</v>
      </c>
      <c r="C418" s="5">
        <f t="shared" si="6"/>
        <v>0</v>
      </c>
    </row>
    <row r="419" spans="1:3" x14ac:dyDescent="0.3">
      <c r="A419" s="5">
        <v>2</v>
      </c>
      <c r="B419" s="5" t="s">
        <v>43</v>
      </c>
      <c r="C419" s="5">
        <f t="shared" si="6"/>
        <v>0</v>
      </c>
    </row>
    <row r="420" spans="1:3" x14ac:dyDescent="0.3">
      <c r="A420" s="5">
        <v>23</v>
      </c>
      <c r="B420" s="5" t="s">
        <v>43</v>
      </c>
      <c r="C420" s="5">
        <f t="shared" si="6"/>
        <v>0</v>
      </c>
    </row>
    <row r="421" spans="1:3" x14ac:dyDescent="0.3">
      <c r="A421" s="5">
        <v>3</v>
      </c>
      <c r="B421" s="5" t="s">
        <v>43</v>
      </c>
      <c r="C421" s="5">
        <f t="shared" si="6"/>
        <v>0</v>
      </c>
    </row>
    <row r="422" spans="1:3" x14ac:dyDescent="0.3">
      <c r="A422" s="5">
        <v>3</v>
      </c>
      <c r="B422" s="5" t="s">
        <v>43</v>
      </c>
      <c r="C422" s="5">
        <f t="shared" si="6"/>
        <v>0</v>
      </c>
    </row>
    <row r="423" spans="1:3" x14ac:dyDescent="0.3">
      <c r="A423" s="5">
        <v>25</v>
      </c>
      <c r="B423" s="5" t="s">
        <v>35</v>
      </c>
      <c r="C423" s="5">
        <f t="shared" si="6"/>
        <v>1</v>
      </c>
    </row>
    <row r="424" spans="1:3" x14ac:dyDescent="0.3">
      <c r="A424" s="5">
        <v>2</v>
      </c>
      <c r="B424" s="5" t="s">
        <v>35</v>
      </c>
      <c r="C424" s="5">
        <f t="shared" si="6"/>
        <v>1</v>
      </c>
    </row>
    <row r="425" spans="1:3" x14ac:dyDescent="0.3">
      <c r="A425" s="5">
        <v>22</v>
      </c>
      <c r="B425" s="5" t="s">
        <v>43</v>
      </c>
      <c r="C425" s="5">
        <f t="shared" si="6"/>
        <v>0</v>
      </c>
    </row>
    <row r="426" spans="1:3" x14ac:dyDescent="0.3">
      <c r="A426" s="5">
        <v>29</v>
      </c>
      <c r="B426" s="5" t="s">
        <v>43</v>
      </c>
      <c r="C426" s="5">
        <f t="shared" si="6"/>
        <v>0</v>
      </c>
    </row>
    <row r="427" spans="1:3" x14ac:dyDescent="0.3">
      <c r="A427" s="5">
        <v>29</v>
      </c>
      <c r="B427" s="5" t="s">
        <v>43</v>
      </c>
      <c r="C427" s="5">
        <f t="shared" si="6"/>
        <v>0</v>
      </c>
    </row>
    <row r="428" spans="1:3" x14ac:dyDescent="0.3">
      <c r="A428" s="5">
        <v>2</v>
      </c>
      <c r="B428" s="5" t="s">
        <v>43</v>
      </c>
      <c r="C428" s="5">
        <f t="shared" si="6"/>
        <v>0</v>
      </c>
    </row>
    <row r="429" spans="1:3" x14ac:dyDescent="0.3">
      <c r="A429" s="5">
        <v>28</v>
      </c>
      <c r="B429" s="5" t="s">
        <v>43</v>
      </c>
      <c r="C429" s="5">
        <f t="shared" si="6"/>
        <v>0</v>
      </c>
    </row>
    <row r="430" spans="1:3" x14ac:dyDescent="0.3">
      <c r="A430" s="5">
        <v>2</v>
      </c>
      <c r="B430" s="5" t="s">
        <v>43</v>
      </c>
      <c r="C430" s="5">
        <f t="shared" si="6"/>
        <v>0</v>
      </c>
    </row>
    <row r="431" spans="1:3" x14ac:dyDescent="0.3">
      <c r="A431" s="5">
        <v>2</v>
      </c>
      <c r="B431" s="5" t="s">
        <v>43</v>
      </c>
      <c r="C431" s="5">
        <f t="shared" si="6"/>
        <v>0</v>
      </c>
    </row>
    <row r="432" spans="1:3" x14ac:dyDescent="0.3">
      <c r="A432" s="5">
        <v>22</v>
      </c>
      <c r="B432" s="5" t="s">
        <v>43</v>
      </c>
      <c r="C432" s="5">
        <f t="shared" si="6"/>
        <v>0</v>
      </c>
    </row>
    <row r="433" spans="1:3" x14ac:dyDescent="0.3">
      <c r="A433" s="5">
        <v>8</v>
      </c>
      <c r="B433" s="5" t="s">
        <v>43</v>
      </c>
      <c r="C433" s="5">
        <f t="shared" si="6"/>
        <v>0</v>
      </c>
    </row>
    <row r="434" spans="1:3" x14ac:dyDescent="0.3">
      <c r="A434" s="5">
        <v>2</v>
      </c>
      <c r="B434" s="5" t="s">
        <v>43</v>
      </c>
      <c r="C434" s="5">
        <f t="shared" si="6"/>
        <v>0</v>
      </c>
    </row>
    <row r="435" spans="1:3" x14ac:dyDescent="0.3">
      <c r="A435" s="5">
        <v>10</v>
      </c>
      <c r="B435" s="5" t="s">
        <v>43</v>
      </c>
      <c r="C435" s="5">
        <f t="shared" si="6"/>
        <v>0</v>
      </c>
    </row>
    <row r="436" spans="1:3" x14ac:dyDescent="0.3">
      <c r="A436" s="5">
        <v>9</v>
      </c>
      <c r="B436" s="5" t="s">
        <v>43</v>
      </c>
      <c r="C436" s="5">
        <f t="shared" si="6"/>
        <v>0</v>
      </c>
    </row>
    <row r="437" spans="1:3" x14ac:dyDescent="0.3">
      <c r="A437" s="5">
        <v>15</v>
      </c>
      <c r="B437" s="5" t="s">
        <v>35</v>
      </c>
      <c r="C437" s="5">
        <f t="shared" si="6"/>
        <v>1</v>
      </c>
    </row>
    <row r="438" spans="1:3" x14ac:dyDescent="0.3">
      <c r="A438" s="5">
        <v>10</v>
      </c>
      <c r="B438" s="5" t="s">
        <v>35</v>
      </c>
      <c r="C438" s="5">
        <f t="shared" si="6"/>
        <v>1</v>
      </c>
    </row>
    <row r="439" spans="1:3" x14ac:dyDescent="0.3">
      <c r="A439" s="5">
        <v>7</v>
      </c>
      <c r="B439" s="5" t="s">
        <v>43</v>
      </c>
      <c r="C439" s="5">
        <f t="shared" si="6"/>
        <v>0</v>
      </c>
    </row>
    <row r="440" spans="1:3" x14ac:dyDescent="0.3">
      <c r="A440" s="5">
        <v>16</v>
      </c>
      <c r="B440" s="5" t="s">
        <v>43</v>
      </c>
      <c r="C440" s="5">
        <f t="shared" si="6"/>
        <v>0</v>
      </c>
    </row>
    <row r="441" spans="1:3" x14ac:dyDescent="0.3">
      <c r="A441" s="5">
        <v>20</v>
      </c>
      <c r="B441" s="5" t="s">
        <v>35</v>
      </c>
      <c r="C441" s="5">
        <f t="shared" si="6"/>
        <v>1</v>
      </c>
    </row>
    <row r="442" spans="1:3" x14ac:dyDescent="0.3">
      <c r="A442" s="5">
        <v>23</v>
      </c>
      <c r="B442" s="5" t="s">
        <v>35</v>
      </c>
      <c r="C442" s="5">
        <f t="shared" si="6"/>
        <v>1</v>
      </c>
    </row>
    <row r="443" spans="1:3" x14ac:dyDescent="0.3">
      <c r="A443" s="5">
        <v>5</v>
      </c>
      <c r="B443" s="5" t="s">
        <v>43</v>
      </c>
      <c r="C443" s="5">
        <f t="shared" si="6"/>
        <v>0</v>
      </c>
    </row>
    <row r="444" spans="1:3" x14ac:dyDescent="0.3">
      <c r="A444" s="5">
        <v>10</v>
      </c>
      <c r="B444" s="5" t="s">
        <v>43</v>
      </c>
      <c r="C444" s="5">
        <f t="shared" si="6"/>
        <v>0</v>
      </c>
    </row>
    <row r="445" spans="1:3" x14ac:dyDescent="0.3">
      <c r="A445" s="5">
        <v>4</v>
      </c>
      <c r="B445" s="5" t="s">
        <v>35</v>
      </c>
      <c r="C445" s="5">
        <f t="shared" si="6"/>
        <v>1</v>
      </c>
    </row>
    <row r="446" spans="1:3" x14ac:dyDescent="0.3">
      <c r="A446" s="5">
        <v>2</v>
      </c>
      <c r="B446" s="5" t="s">
        <v>43</v>
      </c>
      <c r="C446" s="5">
        <f t="shared" si="6"/>
        <v>0</v>
      </c>
    </row>
    <row r="447" spans="1:3" x14ac:dyDescent="0.3">
      <c r="A447" s="5">
        <v>18</v>
      </c>
      <c r="B447" s="5" t="s">
        <v>43</v>
      </c>
      <c r="C447" s="5">
        <f t="shared" si="6"/>
        <v>0</v>
      </c>
    </row>
    <row r="448" spans="1:3" x14ac:dyDescent="0.3">
      <c r="A448" s="5">
        <v>10</v>
      </c>
      <c r="B448" s="5" t="s">
        <v>43</v>
      </c>
      <c r="C448" s="5">
        <f t="shared" si="6"/>
        <v>0</v>
      </c>
    </row>
    <row r="449" spans="1:3" x14ac:dyDescent="0.3">
      <c r="A449" s="5">
        <v>1</v>
      </c>
      <c r="B449" s="5" t="s">
        <v>43</v>
      </c>
      <c r="C449" s="5">
        <f t="shared" si="6"/>
        <v>0</v>
      </c>
    </row>
    <row r="450" spans="1:3" x14ac:dyDescent="0.3">
      <c r="A450" s="5">
        <v>6</v>
      </c>
      <c r="B450" s="5" t="s">
        <v>43</v>
      </c>
      <c r="C450" s="5">
        <f t="shared" si="6"/>
        <v>0</v>
      </c>
    </row>
    <row r="451" spans="1:3" x14ac:dyDescent="0.3">
      <c r="A451" s="5">
        <v>8</v>
      </c>
      <c r="B451" s="5" t="s">
        <v>43</v>
      </c>
      <c r="C451" s="5">
        <f t="shared" ref="C451:C514" si="7">IF(B451="Yes",1,0)</f>
        <v>0</v>
      </c>
    </row>
    <row r="452" spans="1:3" x14ac:dyDescent="0.3">
      <c r="A452" s="5">
        <v>2</v>
      </c>
      <c r="B452" s="5" t="s">
        <v>43</v>
      </c>
      <c r="C452" s="5">
        <f t="shared" si="7"/>
        <v>0</v>
      </c>
    </row>
    <row r="453" spans="1:3" x14ac:dyDescent="0.3">
      <c r="A453" s="5">
        <v>24</v>
      </c>
      <c r="B453" s="5" t="s">
        <v>43</v>
      </c>
      <c r="C453" s="5">
        <f t="shared" si="7"/>
        <v>0</v>
      </c>
    </row>
    <row r="454" spans="1:3" x14ac:dyDescent="0.3">
      <c r="A454" s="5">
        <v>2</v>
      </c>
      <c r="B454" s="5" t="s">
        <v>43</v>
      </c>
      <c r="C454" s="5">
        <f t="shared" si="7"/>
        <v>0</v>
      </c>
    </row>
    <row r="455" spans="1:3" x14ac:dyDescent="0.3">
      <c r="A455" s="5">
        <v>17</v>
      </c>
      <c r="B455" s="5" t="s">
        <v>35</v>
      </c>
      <c r="C455" s="5">
        <f t="shared" si="7"/>
        <v>1</v>
      </c>
    </row>
    <row r="456" spans="1:3" x14ac:dyDescent="0.3">
      <c r="A456" s="5">
        <v>19</v>
      </c>
      <c r="B456" s="5" t="s">
        <v>43</v>
      </c>
      <c r="C456" s="5">
        <f t="shared" si="7"/>
        <v>0</v>
      </c>
    </row>
    <row r="457" spans="1:3" x14ac:dyDescent="0.3">
      <c r="A457" s="5">
        <v>1</v>
      </c>
      <c r="B457" s="5" t="s">
        <v>43</v>
      </c>
      <c r="C457" s="5">
        <f t="shared" si="7"/>
        <v>0</v>
      </c>
    </row>
    <row r="458" spans="1:3" x14ac:dyDescent="0.3">
      <c r="A458" s="5">
        <v>7</v>
      </c>
      <c r="B458" s="5" t="s">
        <v>43</v>
      </c>
      <c r="C458" s="5">
        <f t="shared" si="7"/>
        <v>0</v>
      </c>
    </row>
    <row r="459" spans="1:3" x14ac:dyDescent="0.3">
      <c r="A459" s="5">
        <v>5</v>
      </c>
      <c r="B459" s="5" t="s">
        <v>35</v>
      </c>
      <c r="C459" s="5">
        <f t="shared" si="7"/>
        <v>1</v>
      </c>
    </row>
    <row r="460" spans="1:3" x14ac:dyDescent="0.3">
      <c r="A460" s="5">
        <v>28</v>
      </c>
      <c r="B460" s="5" t="s">
        <v>43</v>
      </c>
      <c r="C460" s="5">
        <f t="shared" si="7"/>
        <v>0</v>
      </c>
    </row>
    <row r="461" spans="1:3" x14ac:dyDescent="0.3">
      <c r="A461" s="5">
        <v>2</v>
      </c>
      <c r="B461" s="5" t="s">
        <v>43</v>
      </c>
      <c r="C461" s="5">
        <f t="shared" si="7"/>
        <v>0</v>
      </c>
    </row>
    <row r="462" spans="1:3" x14ac:dyDescent="0.3">
      <c r="A462" s="5">
        <v>29</v>
      </c>
      <c r="B462" s="5" t="s">
        <v>43</v>
      </c>
      <c r="C462" s="5">
        <f t="shared" si="7"/>
        <v>0</v>
      </c>
    </row>
    <row r="463" spans="1:3" x14ac:dyDescent="0.3">
      <c r="A463" s="5">
        <v>1</v>
      </c>
      <c r="B463" s="5" t="s">
        <v>43</v>
      </c>
      <c r="C463" s="5">
        <f t="shared" si="7"/>
        <v>0</v>
      </c>
    </row>
    <row r="464" spans="1:3" x14ac:dyDescent="0.3">
      <c r="A464" s="5">
        <v>21</v>
      </c>
      <c r="B464" s="5" t="s">
        <v>43</v>
      </c>
      <c r="C464" s="5">
        <f t="shared" si="7"/>
        <v>0</v>
      </c>
    </row>
    <row r="465" spans="1:3" x14ac:dyDescent="0.3">
      <c r="A465" s="5">
        <v>24</v>
      </c>
      <c r="B465" s="5" t="s">
        <v>35</v>
      </c>
      <c r="C465" s="5">
        <f t="shared" si="7"/>
        <v>1</v>
      </c>
    </row>
    <row r="466" spans="1:3" x14ac:dyDescent="0.3">
      <c r="A466" s="5">
        <v>1</v>
      </c>
      <c r="B466" s="5" t="s">
        <v>43</v>
      </c>
      <c r="C466" s="5">
        <f t="shared" si="7"/>
        <v>0</v>
      </c>
    </row>
    <row r="467" spans="1:3" x14ac:dyDescent="0.3">
      <c r="A467" s="5">
        <v>18</v>
      </c>
      <c r="B467" s="5" t="s">
        <v>43</v>
      </c>
      <c r="C467" s="5">
        <f t="shared" si="7"/>
        <v>0</v>
      </c>
    </row>
    <row r="468" spans="1:3" x14ac:dyDescent="0.3">
      <c r="A468" s="5">
        <v>2</v>
      </c>
      <c r="B468" s="5" t="s">
        <v>43</v>
      </c>
      <c r="C468" s="5">
        <f t="shared" si="7"/>
        <v>0</v>
      </c>
    </row>
    <row r="469" spans="1:3" x14ac:dyDescent="0.3">
      <c r="A469" s="5">
        <v>9</v>
      </c>
      <c r="B469" s="5" t="s">
        <v>43</v>
      </c>
      <c r="C469" s="5">
        <f t="shared" si="7"/>
        <v>0</v>
      </c>
    </row>
    <row r="470" spans="1:3" x14ac:dyDescent="0.3">
      <c r="A470" s="5">
        <v>6</v>
      </c>
      <c r="B470" s="5" t="s">
        <v>43</v>
      </c>
      <c r="C470" s="5">
        <f t="shared" si="7"/>
        <v>0</v>
      </c>
    </row>
    <row r="471" spans="1:3" x14ac:dyDescent="0.3">
      <c r="A471" s="5">
        <v>11</v>
      </c>
      <c r="B471" s="5" t="s">
        <v>35</v>
      </c>
      <c r="C471" s="5">
        <f t="shared" si="7"/>
        <v>1</v>
      </c>
    </row>
    <row r="472" spans="1:3" x14ac:dyDescent="0.3">
      <c r="A472" s="5">
        <v>24</v>
      </c>
      <c r="B472" s="5" t="s">
        <v>43</v>
      </c>
      <c r="C472" s="5">
        <f t="shared" si="7"/>
        <v>0</v>
      </c>
    </row>
    <row r="473" spans="1:3" x14ac:dyDescent="0.3">
      <c r="A473" s="5">
        <v>10</v>
      </c>
      <c r="B473" s="5" t="s">
        <v>43</v>
      </c>
      <c r="C473" s="5">
        <f t="shared" si="7"/>
        <v>0</v>
      </c>
    </row>
    <row r="474" spans="1:3" x14ac:dyDescent="0.3">
      <c r="A474" s="5">
        <v>1</v>
      </c>
      <c r="B474" s="5" t="s">
        <v>43</v>
      </c>
      <c r="C474" s="5">
        <f t="shared" si="7"/>
        <v>0</v>
      </c>
    </row>
    <row r="475" spans="1:3" x14ac:dyDescent="0.3">
      <c r="A475" s="5">
        <v>18</v>
      </c>
      <c r="B475" s="5" t="s">
        <v>43</v>
      </c>
      <c r="C475" s="5">
        <f t="shared" si="7"/>
        <v>0</v>
      </c>
    </row>
    <row r="476" spans="1:3" x14ac:dyDescent="0.3">
      <c r="A476" s="5">
        <v>23</v>
      </c>
      <c r="B476" s="5" t="s">
        <v>43</v>
      </c>
      <c r="C476" s="5">
        <f t="shared" si="7"/>
        <v>0</v>
      </c>
    </row>
    <row r="477" spans="1:3" x14ac:dyDescent="0.3">
      <c r="A477" s="5">
        <v>28</v>
      </c>
      <c r="B477" s="5" t="s">
        <v>43</v>
      </c>
      <c r="C477" s="5">
        <f t="shared" si="7"/>
        <v>0</v>
      </c>
    </row>
    <row r="478" spans="1:3" x14ac:dyDescent="0.3">
      <c r="A478" s="5">
        <v>17</v>
      </c>
      <c r="B478" s="5" t="s">
        <v>43</v>
      </c>
      <c r="C478" s="5">
        <f t="shared" si="7"/>
        <v>0</v>
      </c>
    </row>
    <row r="479" spans="1:3" x14ac:dyDescent="0.3">
      <c r="A479" s="5">
        <v>3</v>
      </c>
      <c r="B479" s="5" t="s">
        <v>43</v>
      </c>
      <c r="C479" s="5">
        <f t="shared" si="7"/>
        <v>0</v>
      </c>
    </row>
    <row r="480" spans="1:3" x14ac:dyDescent="0.3">
      <c r="A480" s="5">
        <v>13</v>
      </c>
      <c r="B480" s="5" t="s">
        <v>43</v>
      </c>
      <c r="C480" s="5">
        <f t="shared" si="7"/>
        <v>0</v>
      </c>
    </row>
    <row r="481" spans="1:3" x14ac:dyDescent="0.3">
      <c r="A481" s="5">
        <v>7</v>
      </c>
      <c r="B481" s="5" t="s">
        <v>35</v>
      </c>
      <c r="C481" s="5">
        <f t="shared" si="7"/>
        <v>1</v>
      </c>
    </row>
    <row r="482" spans="1:3" x14ac:dyDescent="0.3">
      <c r="A482" s="5">
        <v>12</v>
      </c>
      <c r="B482" s="5" t="s">
        <v>35</v>
      </c>
      <c r="C482" s="5">
        <f t="shared" si="7"/>
        <v>1</v>
      </c>
    </row>
    <row r="483" spans="1:3" x14ac:dyDescent="0.3">
      <c r="A483" s="5">
        <v>1</v>
      </c>
      <c r="B483" s="5" t="s">
        <v>43</v>
      </c>
      <c r="C483" s="5">
        <f t="shared" si="7"/>
        <v>0</v>
      </c>
    </row>
    <row r="484" spans="1:3" x14ac:dyDescent="0.3">
      <c r="A484" s="5">
        <v>13</v>
      </c>
      <c r="B484" s="5" t="s">
        <v>35</v>
      </c>
      <c r="C484" s="5">
        <f t="shared" si="7"/>
        <v>1</v>
      </c>
    </row>
    <row r="485" spans="1:3" x14ac:dyDescent="0.3">
      <c r="A485" s="5">
        <v>25</v>
      </c>
      <c r="B485" s="5" t="s">
        <v>43</v>
      </c>
      <c r="C485" s="5">
        <f t="shared" si="7"/>
        <v>0</v>
      </c>
    </row>
    <row r="486" spans="1:3" x14ac:dyDescent="0.3">
      <c r="A486" s="5">
        <v>6</v>
      </c>
      <c r="B486" s="5" t="s">
        <v>43</v>
      </c>
      <c r="C486" s="5">
        <f t="shared" si="7"/>
        <v>0</v>
      </c>
    </row>
    <row r="487" spans="1:3" x14ac:dyDescent="0.3">
      <c r="A487" s="5">
        <v>6</v>
      </c>
      <c r="B487" s="5" t="s">
        <v>43</v>
      </c>
      <c r="C487" s="5">
        <f t="shared" si="7"/>
        <v>0</v>
      </c>
    </row>
    <row r="488" spans="1:3" x14ac:dyDescent="0.3">
      <c r="A488" s="5">
        <v>2</v>
      </c>
      <c r="B488" s="5" t="s">
        <v>43</v>
      </c>
      <c r="C488" s="5">
        <f t="shared" si="7"/>
        <v>0</v>
      </c>
    </row>
    <row r="489" spans="1:3" x14ac:dyDescent="0.3">
      <c r="A489" s="5">
        <v>1</v>
      </c>
      <c r="B489" s="5" t="s">
        <v>43</v>
      </c>
      <c r="C489" s="5">
        <f t="shared" si="7"/>
        <v>0</v>
      </c>
    </row>
    <row r="490" spans="1:3" x14ac:dyDescent="0.3">
      <c r="A490" s="5">
        <v>2</v>
      </c>
      <c r="B490" s="5" t="s">
        <v>43</v>
      </c>
      <c r="C490" s="5">
        <f t="shared" si="7"/>
        <v>0</v>
      </c>
    </row>
    <row r="491" spans="1:3" x14ac:dyDescent="0.3">
      <c r="A491" s="5">
        <v>6</v>
      </c>
      <c r="B491" s="5" t="s">
        <v>43</v>
      </c>
      <c r="C491" s="5">
        <f t="shared" si="7"/>
        <v>0</v>
      </c>
    </row>
    <row r="492" spans="1:3" x14ac:dyDescent="0.3">
      <c r="A492" s="5">
        <v>1</v>
      </c>
      <c r="B492" s="5" t="s">
        <v>43</v>
      </c>
      <c r="C492" s="5">
        <f t="shared" si="7"/>
        <v>0</v>
      </c>
    </row>
    <row r="493" spans="1:3" x14ac:dyDescent="0.3">
      <c r="A493" s="5">
        <v>9</v>
      </c>
      <c r="B493" s="5" t="s">
        <v>43</v>
      </c>
      <c r="C493" s="5">
        <f t="shared" si="7"/>
        <v>0</v>
      </c>
    </row>
    <row r="494" spans="1:3" x14ac:dyDescent="0.3">
      <c r="A494" s="5">
        <v>1</v>
      </c>
      <c r="B494" s="5" t="s">
        <v>43</v>
      </c>
      <c r="C494" s="5">
        <f t="shared" si="7"/>
        <v>0</v>
      </c>
    </row>
    <row r="495" spans="1:3" x14ac:dyDescent="0.3">
      <c r="A495" s="5">
        <v>1</v>
      </c>
      <c r="B495" s="5" t="s">
        <v>43</v>
      </c>
      <c r="C495" s="5">
        <f t="shared" si="7"/>
        <v>0</v>
      </c>
    </row>
    <row r="496" spans="1:3" x14ac:dyDescent="0.3">
      <c r="A496" s="5">
        <v>14</v>
      </c>
      <c r="B496" s="5" t="s">
        <v>43</v>
      </c>
      <c r="C496" s="5">
        <f t="shared" si="7"/>
        <v>0</v>
      </c>
    </row>
    <row r="497" spans="1:3" x14ac:dyDescent="0.3">
      <c r="A497" s="5">
        <v>2</v>
      </c>
      <c r="B497" s="5" t="s">
        <v>35</v>
      </c>
      <c r="C497" s="5">
        <f t="shared" si="7"/>
        <v>1</v>
      </c>
    </row>
    <row r="498" spans="1:3" x14ac:dyDescent="0.3">
      <c r="A498" s="5">
        <v>22</v>
      </c>
      <c r="B498" s="5" t="s">
        <v>43</v>
      </c>
      <c r="C498" s="5">
        <f t="shared" si="7"/>
        <v>0</v>
      </c>
    </row>
    <row r="499" spans="1:3" x14ac:dyDescent="0.3">
      <c r="A499" s="5">
        <v>3</v>
      </c>
      <c r="B499" s="5" t="s">
        <v>43</v>
      </c>
      <c r="C499" s="5">
        <f t="shared" si="7"/>
        <v>0</v>
      </c>
    </row>
    <row r="500" spans="1:3" x14ac:dyDescent="0.3">
      <c r="A500" s="5">
        <v>6</v>
      </c>
      <c r="B500" s="5" t="s">
        <v>43</v>
      </c>
      <c r="C500" s="5">
        <f t="shared" si="7"/>
        <v>0</v>
      </c>
    </row>
    <row r="501" spans="1:3" x14ac:dyDescent="0.3">
      <c r="A501" s="5">
        <v>8</v>
      </c>
      <c r="B501" s="5" t="s">
        <v>43</v>
      </c>
      <c r="C501" s="5">
        <f t="shared" si="7"/>
        <v>0</v>
      </c>
    </row>
    <row r="502" spans="1:3" x14ac:dyDescent="0.3">
      <c r="A502" s="5">
        <v>9</v>
      </c>
      <c r="B502" s="5" t="s">
        <v>43</v>
      </c>
      <c r="C502" s="5">
        <f t="shared" si="7"/>
        <v>0</v>
      </c>
    </row>
    <row r="503" spans="1:3" x14ac:dyDescent="0.3">
      <c r="A503" s="5">
        <v>3</v>
      </c>
      <c r="B503" s="5" t="s">
        <v>43</v>
      </c>
      <c r="C503" s="5">
        <f t="shared" si="7"/>
        <v>0</v>
      </c>
    </row>
    <row r="504" spans="1:3" x14ac:dyDescent="0.3">
      <c r="A504" s="5">
        <v>1</v>
      </c>
      <c r="B504" s="5" t="s">
        <v>43</v>
      </c>
      <c r="C504" s="5">
        <f t="shared" si="7"/>
        <v>0</v>
      </c>
    </row>
    <row r="505" spans="1:3" x14ac:dyDescent="0.3">
      <c r="A505" s="5">
        <v>1</v>
      </c>
      <c r="B505" s="5" t="s">
        <v>43</v>
      </c>
      <c r="C505" s="5">
        <f t="shared" si="7"/>
        <v>0</v>
      </c>
    </row>
    <row r="506" spans="1:3" x14ac:dyDescent="0.3">
      <c r="A506" s="5">
        <v>26</v>
      </c>
      <c r="B506" s="5" t="s">
        <v>35</v>
      </c>
      <c r="C506" s="5">
        <f t="shared" si="7"/>
        <v>1</v>
      </c>
    </row>
    <row r="507" spans="1:3" x14ac:dyDescent="0.3">
      <c r="A507" s="5">
        <v>6</v>
      </c>
      <c r="B507" s="5" t="s">
        <v>43</v>
      </c>
      <c r="C507" s="5">
        <f t="shared" si="7"/>
        <v>0</v>
      </c>
    </row>
    <row r="508" spans="1:3" x14ac:dyDescent="0.3">
      <c r="A508" s="5">
        <v>3</v>
      </c>
      <c r="B508" s="5" t="s">
        <v>43</v>
      </c>
      <c r="C508" s="5">
        <f t="shared" si="7"/>
        <v>0</v>
      </c>
    </row>
    <row r="509" spans="1:3" x14ac:dyDescent="0.3">
      <c r="A509" s="5">
        <v>3</v>
      </c>
      <c r="B509" s="5" t="s">
        <v>43</v>
      </c>
      <c r="C509" s="5">
        <f t="shared" si="7"/>
        <v>0</v>
      </c>
    </row>
    <row r="510" spans="1:3" x14ac:dyDescent="0.3">
      <c r="A510" s="5">
        <v>6</v>
      </c>
      <c r="B510" s="5" t="s">
        <v>43</v>
      </c>
      <c r="C510" s="5">
        <f t="shared" si="7"/>
        <v>0</v>
      </c>
    </row>
    <row r="511" spans="1:3" x14ac:dyDescent="0.3">
      <c r="A511" s="5">
        <v>6</v>
      </c>
      <c r="B511" s="5" t="s">
        <v>43</v>
      </c>
      <c r="C511" s="5">
        <f t="shared" si="7"/>
        <v>0</v>
      </c>
    </row>
    <row r="512" spans="1:3" x14ac:dyDescent="0.3">
      <c r="A512" s="5">
        <v>19</v>
      </c>
      <c r="B512" s="5" t="s">
        <v>43</v>
      </c>
      <c r="C512" s="5">
        <f t="shared" si="7"/>
        <v>0</v>
      </c>
    </row>
    <row r="513" spans="1:3" x14ac:dyDescent="0.3">
      <c r="A513" s="5">
        <v>9</v>
      </c>
      <c r="B513" s="5" t="s">
        <v>43</v>
      </c>
      <c r="C513" s="5">
        <f t="shared" si="7"/>
        <v>0</v>
      </c>
    </row>
    <row r="514" spans="1:3" x14ac:dyDescent="0.3">
      <c r="A514" s="5">
        <v>3</v>
      </c>
      <c r="B514" s="5" t="s">
        <v>43</v>
      </c>
      <c r="C514" s="5">
        <f t="shared" si="7"/>
        <v>0</v>
      </c>
    </row>
    <row r="515" spans="1:3" x14ac:dyDescent="0.3">
      <c r="A515" s="5">
        <v>10</v>
      </c>
      <c r="B515" s="5" t="s">
        <v>35</v>
      </c>
      <c r="C515" s="5">
        <f t="shared" ref="C515:C578" si="8">IF(B515="Yes",1,0)</f>
        <v>1</v>
      </c>
    </row>
    <row r="516" spans="1:3" x14ac:dyDescent="0.3">
      <c r="A516" s="5">
        <v>3</v>
      </c>
      <c r="B516" s="5" t="s">
        <v>35</v>
      </c>
      <c r="C516" s="5">
        <f t="shared" si="8"/>
        <v>1</v>
      </c>
    </row>
    <row r="517" spans="1:3" x14ac:dyDescent="0.3">
      <c r="A517" s="5">
        <v>3</v>
      </c>
      <c r="B517" s="5" t="s">
        <v>43</v>
      </c>
      <c r="C517" s="5">
        <f t="shared" si="8"/>
        <v>0</v>
      </c>
    </row>
    <row r="518" spans="1:3" x14ac:dyDescent="0.3">
      <c r="A518" s="5">
        <v>4</v>
      </c>
      <c r="B518" s="5" t="s">
        <v>43</v>
      </c>
      <c r="C518" s="5">
        <f t="shared" si="8"/>
        <v>0</v>
      </c>
    </row>
    <row r="519" spans="1:3" x14ac:dyDescent="0.3">
      <c r="A519" s="5">
        <v>8</v>
      </c>
      <c r="B519" s="5" t="s">
        <v>43</v>
      </c>
      <c r="C519" s="5">
        <f t="shared" si="8"/>
        <v>0</v>
      </c>
    </row>
    <row r="520" spans="1:3" x14ac:dyDescent="0.3">
      <c r="A520" s="5">
        <v>7</v>
      </c>
      <c r="B520" s="5" t="s">
        <v>43</v>
      </c>
      <c r="C520" s="5">
        <f t="shared" si="8"/>
        <v>0</v>
      </c>
    </row>
    <row r="521" spans="1:3" x14ac:dyDescent="0.3">
      <c r="A521" s="5">
        <v>1</v>
      </c>
      <c r="B521" s="5" t="s">
        <v>43</v>
      </c>
      <c r="C521" s="5">
        <f t="shared" si="8"/>
        <v>0</v>
      </c>
    </row>
    <row r="522" spans="1:3" x14ac:dyDescent="0.3">
      <c r="A522" s="5">
        <v>2</v>
      </c>
      <c r="B522" s="5" t="s">
        <v>43</v>
      </c>
      <c r="C522" s="5">
        <f t="shared" si="8"/>
        <v>0</v>
      </c>
    </row>
    <row r="523" spans="1:3" x14ac:dyDescent="0.3">
      <c r="A523" s="5">
        <v>3</v>
      </c>
      <c r="B523" s="5" t="s">
        <v>43</v>
      </c>
      <c r="C523" s="5">
        <f t="shared" si="8"/>
        <v>0</v>
      </c>
    </row>
    <row r="524" spans="1:3" x14ac:dyDescent="0.3">
      <c r="A524" s="5">
        <v>10</v>
      </c>
      <c r="B524" s="5" t="s">
        <v>43</v>
      </c>
      <c r="C524" s="5">
        <f t="shared" si="8"/>
        <v>0</v>
      </c>
    </row>
    <row r="525" spans="1:3" x14ac:dyDescent="0.3">
      <c r="A525" s="5">
        <v>28</v>
      </c>
      <c r="B525" s="5" t="s">
        <v>43</v>
      </c>
      <c r="C525" s="5">
        <f t="shared" si="8"/>
        <v>0</v>
      </c>
    </row>
    <row r="526" spans="1:3" x14ac:dyDescent="0.3">
      <c r="A526" s="5">
        <v>9</v>
      </c>
      <c r="B526" s="5" t="s">
        <v>43</v>
      </c>
      <c r="C526" s="5">
        <f t="shared" si="8"/>
        <v>0</v>
      </c>
    </row>
    <row r="527" spans="1:3" x14ac:dyDescent="0.3">
      <c r="A527" s="5">
        <v>3</v>
      </c>
      <c r="B527" s="5" t="s">
        <v>35</v>
      </c>
      <c r="C527" s="5">
        <f t="shared" si="8"/>
        <v>1</v>
      </c>
    </row>
    <row r="528" spans="1:3" x14ac:dyDescent="0.3">
      <c r="A528" s="5">
        <v>2</v>
      </c>
      <c r="B528" s="5" t="s">
        <v>43</v>
      </c>
      <c r="C528" s="5">
        <f t="shared" si="8"/>
        <v>0</v>
      </c>
    </row>
    <row r="529" spans="1:3" x14ac:dyDescent="0.3">
      <c r="A529" s="5">
        <v>10</v>
      </c>
      <c r="B529" s="5" t="s">
        <v>43</v>
      </c>
      <c r="C529" s="5">
        <f t="shared" si="8"/>
        <v>0</v>
      </c>
    </row>
    <row r="530" spans="1:3" x14ac:dyDescent="0.3">
      <c r="A530" s="5">
        <v>8</v>
      </c>
      <c r="B530" s="5" t="s">
        <v>35</v>
      </c>
      <c r="C530" s="5">
        <f t="shared" si="8"/>
        <v>1</v>
      </c>
    </row>
    <row r="531" spans="1:3" x14ac:dyDescent="0.3">
      <c r="A531" s="5">
        <v>1</v>
      </c>
      <c r="B531" s="5" t="s">
        <v>43</v>
      </c>
      <c r="C531" s="5">
        <f t="shared" si="8"/>
        <v>0</v>
      </c>
    </row>
    <row r="532" spans="1:3" x14ac:dyDescent="0.3">
      <c r="A532" s="5">
        <v>1</v>
      </c>
      <c r="B532" s="5" t="s">
        <v>43</v>
      </c>
      <c r="C532" s="5">
        <f t="shared" si="8"/>
        <v>0</v>
      </c>
    </row>
    <row r="533" spans="1:3" x14ac:dyDescent="0.3">
      <c r="A533" s="5">
        <v>3</v>
      </c>
      <c r="B533" s="5" t="s">
        <v>43</v>
      </c>
      <c r="C533" s="5">
        <f t="shared" si="8"/>
        <v>0</v>
      </c>
    </row>
    <row r="534" spans="1:3" x14ac:dyDescent="0.3">
      <c r="A534" s="5">
        <v>14</v>
      </c>
      <c r="B534" s="5" t="s">
        <v>43</v>
      </c>
      <c r="C534" s="5">
        <f t="shared" si="8"/>
        <v>0</v>
      </c>
    </row>
    <row r="535" spans="1:3" x14ac:dyDescent="0.3">
      <c r="A535" s="5">
        <v>5</v>
      </c>
      <c r="B535" s="5" t="s">
        <v>43</v>
      </c>
      <c r="C535" s="5">
        <f t="shared" si="8"/>
        <v>0</v>
      </c>
    </row>
    <row r="536" spans="1:3" x14ac:dyDescent="0.3">
      <c r="A536" s="5">
        <v>7</v>
      </c>
      <c r="B536" s="5" t="s">
        <v>43</v>
      </c>
      <c r="C536" s="5">
        <f t="shared" si="8"/>
        <v>0</v>
      </c>
    </row>
    <row r="537" spans="1:3" x14ac:dyDescent="0.3">
      <c r="A537" s="5">
        <v>10</v>
      </c>
      <c r="B537" s="5" t="s">
        <v>43</v>
      </c>
      <c r="C537" s="5">
        <f t="shared" si="8"/>
        <v>0</v>
      </c>
    </row>
    <row r="538" spans="1:3" x14ac:dyDescent="0.3">
      <c r="A538" s="5">
        <v>16</v>
      </c>
      <c r="B538" s="5" t="s">
        <v>43</v>
      </c>
      <c r="C538" s="5">
        <f t="shared" si="8"/>
        <v>0</v>
      </c>
    </row>
    <row r="539" spans="1:3" x14ac:dyDescent="0.3">
      <c r="A539" s="5">
        <v>10</v>
      </c>
      <c r="B539" s="5" t="s">
        <v>43</v>
      </c>
      <c r="C539" s="5">
        <f t="shared" si="8"/>
        <v>0</v>
      </c>
    </row>
    <row r="540" spans="1:3" x14ac:dyDescent="0.3">
      <c r="A540" s="5">
        <v>1</v>
      </c>
      <c r="B540" s="5" t="s">
        <v>43</v>
      </c>
      <c r="C540" s="5">
        <f t="shared" si="8"/>
        <v>0</v>
      </c>
    </row>
    <row r="541" spans="1:3" x14ac:dyDescent="0.3">
      <c r="A541" s="5">
        <v>8</v>
      </c>
      <c r="B541" s="5" t="s">
        <v>43</v>
      </c>
      <c r="C541" s="5">
        <f t="shared" si="8"/>
        <v>0</v>
      </c>
    </row>
    <row r="542" spans="1:3" x14ac:dyDescent="0.3">
      <c r="A542" s="5">
        <v>1</v>
      </c>
      <c r="B542" s="5" t="s">
        <v>35</v>
      </c>
      <c r="C542" s="5">
        <f t="shared" si="8"/>
        <v>1</v>
      </c>
    </row>
    <row r="543" spans="1:3" x14ac:dyDescent="0.3">
      <c r="A543" s="5">
        <v>8</v>
      </c>
      <c r="B543" s="5" t="s">
        <v>43</v>
      </c>
      <c r="C543" s="5">
        <f t="shared" si="8"/>
        <v>0</v>
      </c>
    </row>
    <row r="544" spans="1:3" x14ac:dyDescent="0.3">
      <c r="A544" s="5">
        <v>1</v>
      </c>
      <c r="B544" s="5" t="s">
        <v>43</v>
      </c>
      <c r="C544" s="5">
        <f t="shared" si="8"/>
        <v>0</v>
      </c>
    </row>
    <row r="545" spans="1:3" x14ac:dyDescent="0.3">
      <c r="A545" s="5">
        <v>24</v>
      </c>
      <c r="B545" s="5" t="s">
        <v>43</v>
      </c>
      <c r="C545" s="5">
        <f t="shared" si="8"/>
        <v>0</v>
      </c>
    </row>
    <row r="546" spans="1:3" x14ac:dyDescent="0.3">
      <c r="A546" s="5">
        <v>3</v>
      </c>
      <c r="B546" s="5" t="s">
        <v>43</v>
      </c>
      <c r="C546" s="5">
        <f t="shared" si="8"/>
        <v>0</v>
      </c>
    </row>
    <row r="547" spans="1:3" x14ac:dyDescent="0.3">
      <c r="A547" s="5">
        <v>27</v>
      </c>
      <c r="B547" s="5" t="s">
        <v>43</v>
      </c>
      <c r="C547" s="5">
        <f t="shared" si="8"/>
        <v>0</v>
      </c>
    </row>
    <row r="548" spans="1:3" x14ac:dyDescent="0.3">
      <c r="A548" s="5">
        <v>10</v>
      </c>
      <c r="B548" s="5" t="s">
        <v>43</v>
      </c>
      <c r="C548" s="5">
        <f t="shared" si="8"/>
        <v>0</v>
      </c>
    </row>
    <row r="549" spans="1:3" x14ac:dyDescent="0.3">
      <c r="A549" s="5">
        <v>19</v>
      </c>
      <c r="B549" s="5" t="s">
        <v>35</v>
      </c>
      <c r="C549" s="5">
        <f t="shared" si="8"/>
        <v>1</v>
      </c>
    </row>
    <row r="550" spans="1:3" x14ac:dyDescent="0.3">
      <c r="A550" s="5">
        <v>15</v>
      </c>
      <c r="B550" s="5" t="s">
        <v>43</v>
      </c>
      <c r="C550" s="5">
        <f t="shared" si="8"/>
        <v>0</v>
      </c>
    </row>
    <row r="551" spans="1:3" x14ac:dyDescent="0.3">
      <c r="A551" s="5">
        <v>8</v>
      </c>
      <c r="B551" s="5" t="s">
        <v>43</v>
      </c>
      <c r="C551" s="5">
        <f t="shared" si="8"/>
        <v>0</v>
      </c>
    </row>
    <row r="552" spans="1:3" x14ac:dyDescent="0.3">
      <c r="A552" s="5">
        <v>9</v>
      </c>
      <c r="B552" s="5" t="s">
        <v>43</v>
      </c>
      <c r="C552" s="5">
        <f t="shared" si="8"/>
        <v>0</v>
      </c>
    </row>
    <row r="553" spans="1:3" x14ac:dyDescent="0.3">
      <c r="A553" s="5">
        <v>3</v>
      </c>
      <c r="B553" s="5" t="s">
        <v>43</v>
      </c>
      <c r="C553" s="5">
        <f t="shared" si="8"/>
        <v>0</v>
      </c>
    </row>
    <row r="554" spans="1:3" x14ac:dyDescent="0.3">
      <c r="A554" s="5">
        <v>9</v>
      </c>
      <c r="B554" s="5" t="s">
        <v>43</v>
      </c>
      <c r="C554" s="5">
        <f t="shared" si="8"/>
        <v>0</v>
      </c>
    </row>
    <row r="555" spans="1:3" x14ac:dyDescent="0.3">
      <c r="A555" s="5">
        <v>2</v>
      </c>
      <c r="B555" s="5" t="s">
        <v>43</v>
      </c>
      <c r="C555" s="5">
        <f t="shared" si="8"/>
        <v>0</v>
      </c>
    </row>
    <row r="556" spans="1:3" x14ac:dyDescent="0.3">
      <c r="A556" s="5">
        <v>7</v>
      </c>
      <c r="B556" s="5" t="s">
        <v>43</v>
      </c>
      <c r="C556" s="5">
        <f t="shared" si="8"/>
        <v>0</v>
      </c>
    </row>
    <row r="557" spans="1:3" x14ac:dyDescent="0.3">
      <c r="A557" s="5">
        <v>10</v>
      </c>
      <c r="B557" s="5" t="s">
        <v>43</v>
      </c>
      <c r="C557" s="5">
        <f t="shared" si="8"/>
        <v>0</v>
      </c>
    </row>
    <row r="558" spans="1:3" x14ac:dyDescent="0.3">
      <c r="A558" s="5">
        <v>6</v>
      </c>
      <c r="B558" s="5" t="s">
        <v>43</v>
      </c>
      <c r="C558" s="5">
        <f t="shared" si="8"/>
        <v>0</v>
      </c>
    </row>
    <row r="559" spans="1:3" x14ac:dyDescent="0.3">
      <c r="A559" s="5">
        <v>2</v>
      </c>
      <c r="B559" s="5" t="s">
        <v>43</v>
      </c>
      <c r="C559" s="5">
        <f t="shared" si="8"/>
        <v>0</v>
      </c>
    </row>
    <row r="560" spans="1:3" x14ac:dyDescent="0.3">
      <c r="A560" s="5">
        <v>24</v>
      </c>
      <c r="B560" s="5" t="s">
        <v>43</v>
      </c>
      <c r="C560" s="5">
        <f t="shared" si="8"/>
        <v>0</v>
      </c>
    </row>
    <row r="561" spans="1:3" x14ac:dyDescent="0.3">
      <c r="A561" s="5">
        <v>2</v>
      </c>
      <c r="B561" s="5" t="s">
        <v>43</v>
      </c>
      <c r="C561" s="5">
        <f t="shared" si="8"/>
        <v>0</v>
      </c>
    </row>
    <row r="562" spans="1:3" x14ac:dyDescent="0.3">
      <c r="A562" s="5">
        <v>8</v>
      </c>
      <c r="B562" s="5" t="s">
        <v>43</v>
      </c>
      <c r="C562" s="5">
        <f t="shared" si="8"/>
        <v>0</v>
      </c>
    </row>
    <row r="563" spans="1:3" x14ac:dyDescent="0.3">
      <c r="A563" s="5">
        <v>3</v>
      </c>
      <c r="B563" s="5" t="s">
        <v>43</v>
      </c>
      <c r="C563" s="5">
        <f t="shared" si="8"/>
        <v>0</v>
      </c>
    </row>
    <row r="564" spans="1:3" x14ac:dyDescent="0.3">
      <c r="A564" s="5">
        <v>1</v>
      </c>
      <c r="B564" s="5" t="s">
        <v>35</v>
      </c>
      <c r="C564" s="5">
        <f t="shared" si="8"/>
        <v>1</v>
      </c>
    </row>
    <row r="565" spans="1:3" x14ac:dyDescent="0.3">
      <c r="A565" s="5">
        <v>26</v>
      </c>
      <c r="B565" s="5" t="s">
        <v>43</v>
      </c>
      <c r="C565" s="5">
        <f t="shared" si="8"/>
        <v>0</v>
      </c>
    </row>
    <row r="566" spans="1:3" x14ac:dyDescent="0.3">
      <c r="A566" s="5">
        <v>2</v>
      </c>
      <c r="B566" s="5" t="s">
        <v>43</v>
      </c>
      <c r="C566" s="5">
        <f t="shared" si="8"/>
        <v>0</v>
      </c>
    </row>
    <row r="567" spans="1:3" x14ac:dyDescent="0.3">
      <c r="A567" s="5">
        <v>10</v>
      </c>
      <c r="B567" s="5" t="s">
        <v>43</v>
      </c>
      <c r="C567" s="5">
        <f t="shared" si="8"/>
        <v>0</v>
      </c>
    </row>
    <row r="568" spans="1:3" x14ac:dyDescent="0.3">
      <c r="A568" s="5">
        <v>27</v>
      </c>
      <c r="B568" s="5" t="s">
        <v>35</v>
      </c>
      <c r="C568" s="5">
        <f t="shared" si="8"/>
        <v>1</v>
      </c>
    </row>
    <row r="569" spans="1:3" x14ac:dyDescent="0.3">
      <c r="A569" s="5">
        <v>2</v>
      </c>
      <c r="B569" s="5" t="s">
        <v>43</v>
      </c>
      <c r="C569" s="5">
        <f t="shared" si="8"/>
        <v>0</v>
      </c>
    </row>
    <row r="570" spans="1:3" x14ac:dyDescent="0.3">
      <c r="A570" s="5">
        <v>2</v>
      </c>
      <c r="B570" s="5" t="s">
        <v>35</v>
      </c>
      <c r="C570" s="5">
        <f t="shared" si="8"/>
        <v>1</v>
      </c>
    </row>
    <row r="571" spans="1:3" x14ac:dyDescent="0.3">
      <c r="A571" s="5">
        <v>8</v>
      </c>
      <c r="B571" s="5" t="s">
        <v>43</v>
      </c>
      <c r="C571" s="5">
        <f t="shared" si="8"/>
        <v>0</v>
      </c>
    </row>
    <row r="572" spans="1:3" x14ac:dyDescent="0.3">
      <c r="A572" s="5">
        <v>19</v>
      </c>
      <c r="B572" s="5" t="s">
        <v>43</v>
      </c>
      <c r="C572" s="5">
        <f t="shared" si="8"/>
        <v>0</v>
      </c>
    </row>
    <row r="573" spans="1:3" x14ac:dyDescent="0.3">
      <c r="A573" s="5">
        <v>1</v>
      </c>
      <c r="B573" s="5" t="s">
        <v>43</v>
      </c>
      <c r="C573" s="5">
        <f t="shared" si="8"/>
        <v>0</v>
      </c>
    </row>
    <row r="574" spans="1:3" x14ac:dyDescent="0.3">
      <c r="A574" s="5">
        <v>27</v>
      </c>
      <c r="B574" s="5" t="s">
        <v>43</v>
      </c>
      <c r="C574" s="5">
        <f t="shared" si="8"/>
        <v>0</v>
      </c>
    </row>
    <row r="575" spans="1:3" x14ac:dyDescent="0.3">
      <c r="A575" s="5">
        <v>8</v>
      </c>
      <c r="B575" s="5" t="s">
        <v>35</v>
      </c>
      <c r="C575" s="5">
        <f t="shared" si="8"/>
        <v>1</v>
      </c>
    </row>
    <row r="576" spans="1:3" x14ac:dyDescent="0.3">
      <c r="A576" s="5">
        <v>1</v>
      </c>
      <c r="B576" s="5" t="s">
        <v>43</v>
      </c>
      <c r="C576" s="5">
        <f t="shared" si="8"/>
        <v>0</v>
      </c>
    </row>
    <row r="577" spans="1:3" x14ac:dyDescent="0.3">
      <c r="A577" s="5">
        <v>19</v>
      </c>
      <c r="B577" s="5" t="s">
        <v>43</v>
      </c>
      <c r="C577" s="5">
        <f t="shared" si="8"/>
        <v>0</v>
      </c>
    </row>
    <row r="578" spans="1:3" x14ac:dyDescent="0.3">
      <c r="A578" s="5">
        <v>8</v>
      </c>
      <c r="B578" s="5" t="s">
        <v>43</v>
      </c>
      <c r="C578" s="5">
        <f t="shared" si="8"/>
        <v>0</v>
      </c>
    </row>
    <row r="579" spans="1:3" x14ac:dyDescent="0.3">
      <c r="A579" s="5">
        <v>10</v>
      </c>
      <c r="B579" s="5" t="s">
        <v>43</v>
      </c>
      <c r="C579" s="5">
        <f t="shared" ref="C579:C642" si="9">IF(B579="Yes",1,0)</f>
        <v>0</v>
      </c>
    </row>
    <row r="580" spans="1:3" x14ac:dyDescent="0.3">
      <c r="A580" s="5">
        <v>2</v>
      </c>
      <c r="B580" s="5" t="s">
        <v>43</v>
      </c>
      <c r="C580" s="5">
        <f t="shared" si="9"/>
        <v>0</v>
      </c>
    </row>
    <row r="581" spans="1:3" x14ac:dyDescent="0.3">
      <c r="A581" s="5">
        <v>2</v>
      </c>
      <c r="B581" s="5" t="s">
        <v>43</v>
      </c>
      <c r="C581" s="5">
        <f t="shared" si="9"/>
        <v>0</v>
      </c>
    </row>
    <row r="582" spans="1:3" x14ac:dyDescent="0.3">
      <c r="A582" s="5">
        <v>8</v>
      </c>
      <c r="B582" s="5" t="s">
        <v>43</v>
      </c>
      <c r="C582" s="5">
        <f t="shared" si="9"/>
        <v>0</v>
      </c>
    </row>
    <row r="583" spans="1:3" x14ac:dyDescent="0.3">
      <c r="A583" s="5">
        <v>1</v>
      </c>
      <c r="B583" s="5" t="s">
        <v>43</v>
      </c>
      <c r="C583" s="5">
        <f t="shared" si="9"/>
        <v>0</v>
      </c>
    </row>
    <row r="584" spans="1:3" x14ac:dyDescent="0.3">
      <c r="A584" s="5">
        <v>2</v>
      </c>
      <c r="B584" s="5" t="s">
        <v>43</v>
      </c>
      <c r="C584" s="5">
        <f t="shared" si="9"/>
        <v>0</v>
      </c>
    </row>
    <row r="585" spans="1:3" x14ac:dyDescent="0.3">
      <c r="A585" s="5">
        <v>8</v>
      </c>
      <c r="B585" s="5" t="s">
        <v>43</v>
      </c>
      <c r="C585" s="5">
        <f t="shared" si="9"/>
        <v>0</v>
      </c>
    </row>
    <row r="586" spans="1:3" x14ac:dyDescent="0.3">
      <c r="A586" s="5">
        <v>8</v>
      </c>
      <c r="B586" s="5" t="s">
        <v>43</v>
      </c>
      <c r="C586" s="5">
        <f t="shared" si="9"/>
        <v>0</v>
      </c>
    </row>
    <row r="587" spans="1:3" x14ac:dyDescent="0.3">
      <c r="A587" s="5">
        <v>6</v>
      </c>
      <c r="B587" s="5" t="s">
        <v>35</v>
      </c>
      <c r="C587" s="5">
        <f t="shared" si="9"/>
        <v>1</v>
      </c>
    </row>
    <row r="588" spans="1:3" x14ac:dyDescent="0.3">
      <c r="A588" s="5">
        <v>9</v>
      </c>
      <c r="B588" s="5" t="s">
        <v>43</v>
      </c>
      <c r="C588" s="5">
        <f t="shared" si="9"/>
        <v>0</v>
      </c>
    </row>
    <row r="589" spans="1:3" x14ac:dyDescent="0.3">
      <c r="A589" s="5">
        <v>11</v>
      </c>
      <c r="B589" s="5" t="s">
        <v>43</v>
      </c>
      <c r="C589" s="5">
        <f t="shared" si="9"/>
        <v>0</v>
      </c>
    </row>
    <row r="590" spans="1:3" x14ac:dyDescent="0.3">
      <c r="A590" s="5">
        <v>2</v>
      </c>
      <c r="B590" s="5" t="s">
        <v>43</v>
      </c>
      <c r="C590" s="5">
        <f t="shared" si="9"/>
        <v>0</v>
      </c>
    </row>
    <row r="591" spans="1:3" x14ac:dyDescent="0.3">
      <c r="A591" s="5">
        <v>1</v>
      </c>
      <c r="B591" s="5" t="s">
        <v>35</v>
      </c>
      <c r="C591" s="5">
        <f t="shared" si="9"/>
        <v>1</v>
      </c>
    </row>
    <row r="592" spans="1:3" x14ac:dyDescent="0.3">
      <c r="A592" s="5">
        <v>7</v>
      </c>
      <c r="B592" s="5" t="s">
        <v>43</v>
      </c>
      <c r="C592" s="5">
        <f t="shared" si="9"/>
        <v>0</v>
      </c>
    </row>
    <row r="593" spans="1:3" x14ac:dyDescent="0.3">
      <c r="A593" s="5">
        <v>16</v>
      </c>
      <c r="B593" s="5" t="s">
        <v>35</v>
      </c>
      <c r="C593" s="5">
        <f t="shared" si="9"/>
        <v>1</v>
      </c>
    </row>
    <row r="594" spans="1:3" x14ac:dyDescent="0.3">
      <c r="A594" s="5">
        <v>2</v>
      </c>
      <c r="B594" s="5" t="s">
        <v>43</v>
      </c>
      <c r="C594" s="5">
        <f t="shared" si="9"/>
        <v>0</v>
      </c>
    </row>
    <row r="595" spans="1:3" x14ac:dyDescent="0.3">
      <c r="A595" s="5">
        <v>1</v>
      </c>
      <c r="B595" s="5" t="s">
        <v>43</v>
      </c>
      <c r="C595" s="5">
        <f t="shared" si="9"/>
        <v>0</v>
      </c>
    </row>
    <row r="596" spans="1:3" x14ac:dyDescent="0.3">
      <c r="A596" s="5">
        <v>23</v>
      </c>
      <c r="B596" s="5" t="s">
        <v>43</v>
      </c>
      <c r="C596" s="5">
        <f t="shared" si="9"/>
        <v>0</v>
      </c>
    </row>
    <row r="597" spans="1:3" x14ac:dyDescent="0.3">
      <c r="A597" s="5">
        <v>2</v>
      </c>
      <c r="B597" s="5" t="s">
        <v>35</v>
      </c>
      <c r="C597" s="5">
        <f t="shared" si="9"/>
        <v>1</v>
      </c>
    </row>
    <row r="598" spans="1:3" x14ac:dyDescent="0.3">
      <c r="A598" s="5">
        <v>1</v>
      </c>
      <c r="B598" s="5" t="s">
        <v>43</v>
      </c>
      <c r="C598" s="5">
        <f t="shared" si="9"/>
        <v>0</v>
      </c>
    </row>
    <row r="599" spans="1:3" x14ac:dyDescent="0.3">
      <c r="A599" s="5">
        <v>1</v>
      </c>
      <c r="B599" s="5" t="s">
        <v>43</v>
      </c>
      <c r="C599" s="5">
        <f t="shared" si="9"/>
        <v>0</v>
      </c>
    </row>
    <row r="600" spans="1:3" x14ac:dyDescent="0.3">
      <c r="A600" s="5">
        <v>2</v>
      </c>
      <c r="B600" s="5" t="s">
        <v>35</v>
      </c>
      <c r="C600" s="5">
        <f t="shared" si="9"/>
        <v>1</v>
      </c>
    </row>
    <row r="601" spans="1:3" x14ac:dyDescent="0.3">
      <c r="A601" s="5">
        <v>13</v>
      </c>
      <c r="B601" s="5" t="s">
        <v>43</v>
      </c>
      <c r="C601" s="5">
        <f t="shared" si="9"/>
        <v>0</v>
      </c>
    </row>
    <row r="602" spans="1:3" x14ac:dyDescent="0.3">
      <c r="A602" s="5">
        <v>4</v>
      </c>
      <c r="B602" s="5" t="s">
        <v>43</v>
      </c>
      <c r="C602" s="5">
        <f t="shared" si="9"/>
        <v>0</v>
      </c>
    </row>
    <row r="603" spans="1:3" x14ac:dyDescent="0.3">
      <c r="A603" s="5">
        <v>16</v>
      </c>
      <c r="B603" s="5" t="s">
        <v>43</v>
      </c>
      <c r="C603" s="5">
        <f t="shared" si="9"/>
        <v>0</v>
      </c>
    </row>
    <row r="604" spans="1:3" x14ac:dyDescent="0.3">
      <c r="A604" s="5">
        <v>2</v>
      </c>
      <c r="B604" s="5" t="s">
        <v>43</v>
      </c>
      <c r="C604" s="5">
        <f t="shared" si="9"/>
        <v>0</v>
      </c>
    </row>
    <row r="605" spans="1:3" x14ac:dyDescent="0.3">
      <c r="A605" s="5">
        <v>2</v>
      </c>
      <c r="B605" s="5" t="s">
        <v>43</v>
      </c>
      <c r="C605" s="5">
        <f t="shared" si="9"/>
        <v>0</v>
      </c>
    </row>
    <row r="606" spans="1:3" x14ac:dyDescent="0.3">
      <c r="A606" s="5">
        <v>29</v>
      </c>
      <c r="B606" s="5" t="s">
        <v>43</v>
      </c>
      <c r="C606" s="5">
        <f t="shared" si="9"/>
        <v>0</v>
      </c>
    </row>
    <row r="607" spans="1:3" x14ac:dyDescent="0.3">
      <c r="A607" s="5">
        <v>12</v>
      </c>
      <c r="B607" s="5" t="s">
        <v>43</v>
      </c>
      <c r="C607" s="5">
        <f t="shared" si="9"/>
        <v>0</v>
      </c>
    </row>
    <row r="608" spans="1:3" x14ac:dyDescent="0.3">
      <c r="A608" s="5">
        <v>16</v>
      </c>
      <c r="B608" s="5" t="s">
        <v>43</v>
      </c>
      <c r="C608" s="5">
        <f t="shared" si="9"/>
        <v>0</v>
      </c>
    </row>
    <row r="609" spans="1:3" x14ac:dyDescent="0.3">
      <c r="A609" s="5">
        <v>11</v>
      </c>
      <c r="B609" s="5" t="s">
        <v>35</v>
      </c>
      <c r="C609" s="5">
        <f t="shared" si="9"/>
        <v>1</v>
      </c>
    </row>
    <row r="610" spans="1:3" x14ac:dyDescent="0.3">
      <c r="A610" s="5">
        <v>2</v>
      </c>
      <c r="B610" s="5" t="s">
        <v>35</v>
      </c>
      <c r="C610" s="5">
        <f t="shared" si="9"/>
        <v>1</v>
      </c>
    </row>
    <row r="611" spans="1:3" x14ac:dyDescent="0.3">
      <c r="A611" s="5">
        <v>14</v>
      </c>
      <c r="B611" s="5" t="s">
        <v>43</v>
      </c>
      <c r="C611" s="5">
        <f t="shared" si="9"/>
        <v>0</v>
      </c>
    </row>
    <row r="612" spans="1:3" x14ac:dyDescent="0.3">
      <c r="A612" s="5">
        <v>5</v>
      </c>
      <c r="B612" s="5" t="s">
        <v>43</v>
      </c>
      <c r="C612" s="5">
        <f t="shared" si="9"/>
        <v>0</v>
      </c>
    </row>
    <row r="613" spans="1:3" x14ac:dyDescent="0.3">
      <c r="A613" s="5">
        <v>7</v>
      </c>
      <c r="B613" s="5" t="s">
        <v>43</v>
      </c>
      <c r="C613" s="5">
        <f t="shared" si="9"/>
        <v>0</v>
      </c>
    </row>
    <row r="614" spans="1:3" x14ac:dyDescent="0.3">
      <c r="A614" s="5">
        <v>2</v>
      </c>
      <c r="B614" s="5" t="s">
        <v>43</v>
      </c>
      <c r="C614" s="5">
        <f t="shared" si="9"/>
        <v>0</v>
      </c>
    </row>
    <row r="615" spans="1:3" x14ac:dyDescent="0.3">
      <c r="A615" s="5">
        <v>3</v>
      </c>
      <c r="B615" s="5" t="s">
        <v>43</v>
      </c>
      <c r="C615" s="5">
        <f t="shared" si="9"/>
        <v>0</v>
      </c>
    </row>
    <row r="616" spans="1:3" x14ac:dyDescent="0.3">
      <c r="A616" s="5">
        <v>5</v>
      </c>
      <c r="B616" s="5" t="s">
        <v>35</v>
      </c>
      <c r="C616" s="5">
        <f t="shared" si="9"/>
        <v>1</v>
      </c>
    </row>
    <row r="617" spans="1:3" x14ac:dyDescent="0.3">
      <c r="A617" s="5">
        <v>3</v>
      </c>
      <c r="B617" s="5" t="s">
        <v>43</v>
      </c>
      <c r="C617" s="5">
        <f t="shared" si="9"/>
        <v>0</v>
      </c>
    </row>
    <row r="618" spans="1:3" x14ac:dyDescent="0.3">
      <c r="A618" s="5">
        <v>26</v>
      </c>
      <c r="B618" s="5" t="s">
        <v>43</v>
      </c>
      <c r="C618" s="5">
        <f t="shared" si="9"/>
        <v>0</v>
      </c>
    </row>
    <row r="619" spans="1:3" x14ac:dyDescent="0.3">
      <c r="A619" s="5">
        <v>4</v>
      </c>
      <c r="B619" s="5" t="s">
        <v>43</v>
      </c>
      <c r="C619" s="5">
        <f t="shared" si="9"/>
        <v>0</v>
      </c>
    </row>
    <row r="620" spans="1:3" x14ac:dyDescent="0.3">
      <c r="A620" s="5">
        <v>2</v>
      </c>
      <c r="B620" s="5" t="s">
        <v>43</v>
      </c>
      <c r="C620" s="5">
        <f t="shared" si="9"/>
        <v>0</v>
      </c>
    </row>
    <row r="621" spans="1:3" x14ac:dyDescent="0.3">
      <c r="A621" s="5">
        <v>1</v>
      </c>
      <c r="B621" s="5" t="s">
        <v>43</v>
      </c>
      <c r="C621" s="5">
        <f t="shared" si="9"/>
        <v>0</v>
      </c>
    </row>
    <row r="622" spans="1:3" x14ac:dyDescent="0.3">
      <c r="A622" s="5">
        <v>27</v>
      </c>
      <c r="B622" s="5" t="s">
        <v>43</v>
      </c>
      <c r="C622" s="5">
        <f t="shared" si="9"/>
        <v>0</v>
      </c>
    </row>
    <row r="623" spans="1:3" x14ac:dyDescent="0.3">
      <c r="A623" s="5">
        <v>1</v>
      </c>
      <c r="B623" s="5" t="s">
        <v>43</v>
      </c>
      <c r="C623" s="5">
        <f t="shared" si="9"/>
        <v>0</v>
      </c>
    </row>
    <row r="624" spans="1:3" x14ac:dyDescent="0.3">
      <c r="A624" s="5">
        <v>13</v>
      </c>
      <c r="B624" s="5" t="s">
        <v>43</v>
      </c>
      <c r="C624" s="5">
        <f t="shared" si="9"/>
        <v>0</v>
      </c>
    </row>
    <row r="625" spans="1:3" x14ac:dyDescent="0.3">
      <c r="A625" s="5">
        <v>5</v>
      </c>
      <c r="B625" s="5" t="s">
        <v>43</v>
      </c>
      <c r="C625" s="5">
        <f t="shared" si="9"/>
        <v>0</v>
      </c>
    </row>
    <row r="626" spans="1:3" x14ac:dyDescent="0.3">
      <c r="A626" s="5">
        <v>7</v>
      </c>
      <c r="B626" s="5" t="s">
        <v>43</v>
      </c>
      <c r="C626" s="5">
        <f t="shared" si="9"/>
        <v>0</v>
      </c>
    </row>
    <row r="627" spans="1:3" x14ac:dyDescent="0.3">
      <c r="A627" s="5">
        <v>9</v>
      </c>
      <c r="B627" s="5" t="s">
        <v>43</v>
      </c>
      <c r="C627" s="5">
        <f t="shared" si="9"/>
        <v>0</v>
      </c>
    </row>
    <row r="628" spans="1:3" x14ac:dyDescent="0.3">
      <c r="A628" s="5">
        <v>8</v>
      </c>
      <c r="B628" s="5" t="s">
        <v>43</v>
      </c>
      <c r="C628" s="5">
        <f t="shared" si="9"/>
        <v>0</v>
      </c>
    </row>
    <row r="629" spans="1:3" x14ac:dyDescent="0.3">
      <c r="A629" s="5">
        <v>25</v>
      </c>
      <c r="B629" s="5" t="s">
        <v>43</v>
      </c>
      <c r="C629" s="5">
        <f t="shared" si="9"/>
        <v>0</v>
      </c>
    </row>
    <row r="630" spans="1:3" x14ac:dyDescent="0.3">
      <c r="A630" s="5">
        <v>16</v>
      </c>
      <c r="B630" s="5" t="s">
        <v>43</v>
      </c>
      <c r="C630" s="5">
        <f t="shared" si="9"/>
        <v>0</v>
      </c>
    </row>
    <row r="631" spans="1:3" x14ac:dyDescent="0.3">
      <c r="A631" s="5">
        <v>8</v>
      </c>
      <c r="B631" s="5" t="s">
        <v>43</v>
      </c>
      <c r="C631" s="5">
        <f t="shared" si="9"/>
        <v>0</v>
      </c>
    </row>
    <row r="632" spans="1:3" x14ac:dyDescent="0.3">
      <c r="A632" s="5">
        <v>1</v>
      </c>
      <c r="B632" s="5" t="s">
        <v>43</v>
      </c>
      <c r="C632" s="5">
        <f t="shared" si="9"/>
        <v>0</v>
      </c>
    </row>
    <row r="633" spans="1:3" x14ac:dyDescent="0.3">
      <c r="A633" s="5">
        <v>8</v>
      </c>
      <c r="B633" s="5" t="s">
        <v>43</v>
      </c>
      <c r="C633" s="5">
        <f t="shared" si="9"/>
        <v>0</v>
      </c>
    </row>
    <row r="634" spans="1:3" x14ac:dyDescent="0.3">
      <c r="A634" s="5">
        <v>2</v>
      </c>
      <c r="B634" s="5" t="s">
        <v>43</v>
      </c>
      <c r="C634" s="5">
        <f t="shared" si="9"/>
        <v>0</v>
      </c>
    </row>
    <row r="635" spans="1:3" x14ac:dyDescent="0.3">
      <c r="A635" s="5">
        <v>8</v>
      </c>
      <c r="B635" s="5" t="s">
        <v>43</v>
      </c>
      <c r="C635" s="5">
        <f t="shared" si="9"/>
        <v>0</v>
      </c>
    </row>
    <row r="636" spans="1:3" x14ac:dyDescent="0.3">
      <c r="A636" s="5">
        <v>3</v>
      </c>
      <c r="B636" s="5" t="s">
        <v>43</v>
      </c>
      <c r="C636" s="5">
        <f t="shared" si="9"/>
        <v>0</v>
      </c>
    </row>
    <row r="637" spans="1:3" x14ac:dyDescent="0.3">
      <c r="A637" s="5">
        <v>9</v>
      </c>
      <c r="B637" s="5" t="s">
        <v>43</v>
      </c>
      <c r="C637" s="5">
        <f t="shared" si="9"/>
        <v>0</v>
      </c>
    </row>
    <row r="638" spans="1:3" x14ac:dyDescent="0.3">
      <c r="A638" s="5">
        <v>25</v>
      </c>
      <c r="B638" s="5" t="s">
        <v>35</v>
      </c>
      <c r="C638" s="5">
        <f t="shared" si="9"/>
        <v>1</v>
      </c>
    </row>
    <row r="639" spans="1:3" x14ac:dyDescent="0.3">
      <c r="A639" s="5">
        <v>1</v>
      </c>
      <c r="B639" s="5" t="s">
        <v>43</v>
      </c>
      <c r="C639" s="5">
        <f t="shared" si="9"/>
        <v>0</v>
      </c>
    </row>
    <row r="640" spans="1:3" x14ac:dyDescent="0.3">
      <c r="A640" s="5">
        <v>4</v>
      </c>
      <c r="B640" s="5" t="s">
        <v>43</v>
      </c>
      <c r="C640" s="5">
        <f t="shared" si="9"/>
        <v>0</v>
      </c>
    </row>
    <row r="641" spans="1:3" x14ac:dyDescent="0.3">
      <c r="A641" s="5">
        <v>1</v>
      </c>
      <c r="B641" s="5" t="s">
        <v>43</v>
      </c>
      <c r="C641" s="5">
        <f t="shared" si="9"/>
        <v>0</v>
      </c>
    </row>
    <row r="642" spans="1:3" x14ac:dyDescent="0.3">
      <c r="A642" s="5">
        <v>4</v>
      </c>
      <c r="B642" s="5" t="s">
        <v>43</v>
      </c>
      <c r="C642" s="5">
        <f t="shared" si="9"/>
        <v>0</v>
      </c>
    </row>
    <row r="643" spans="1:3" x14ac:dyDescent="0.3">
      <c r="A643" s="5">
        <v>5</v>
      </c>
      <c r="B643" s="5" t="s">
        <v>43</v>
      </c>
      <c r="C643" s="5">
        <f t="shared" ref="C643:C706" si="10">IF(B643="Yes",1,0)</f>
        <v>0</v>
      </c>
    </row>
    <row r="644" spans="1:3" x14ac:dyDescent="0.3">
      <c r="A644" s="5">
        <v>9</v>
      </c>
      <c r="B644" s="5" t="s">
        <v>43</v>
      </c>
      <c r="C644" s="5">
        <f t="shared" si="10"/>
        <v>0</v>
      </c>
    </row>
    <row r="645" spans="1:3" x14ac:dyDescent="0.3">
      <c r="A645" s="5">
        <v>3</v>
      </c>
      <c r="B645" s="5" t="s">
        <v>43</v>
      </c>
      <c r="C645" s="5">
        <f t="shared" si="10"/>
        <v>0</v>
      </c>
    </row>
    <row r="646" spans="1:3" x14ac:dyDescent="0.3">
      <c r="A646" s="5">
        <v>11</v>
      </c>
      <c r="B646" s="5" t="s">
        <v>43</v>
      </c>
      <c r="C646" s="5">
        <f t="shared" si="10"/>
        <v>0</v>
      </c>
    </row>
    <row r="647" spans="1:3" x14ac:dyDescent="0.3">
      <c r="A647" s="5">
        <v>1</v>
      </c>
      <c r="B647" s="5" t="s">
        <v>35</v>
      </c>
      <c r="C647" s="5">
        <f t="shared" si="10"/>
        <v>1</v>
      </c>
    </row>
    <row r="648" spans="1:3" x14ac:dyDescent="0.3">
      <c r="A648" s="5">
        <v>8</v>
      </c>
      <c r="B648" s="5" t="s">
        <v>43</v>
      </c>
      <c r="C648" s="5">
        <f t="shared" si="10"/>
        <v>0</v>
      </c>
    </row>
    <row r="649" spans="1:3" x14ac:dyDescent="0.3">
      <c r="A649" s="5">
        <v>25</v>
      </c>
      <c r="B649" s="5" t="s">
        <v>43</v>
      </c>
      <c r="C649" s="5">
        <f t="shared" si="10"/>
        <v>0</v>
      </c>
    </row>
    <row r="650" spans="1:3" x14ac:dyDescent="0.3">
      <c r="A650" s="5">
        <v>21</v>
      </c>
      <c r="B650" s="5" t="s">
        <v>43</v>
      </c>
      <c r="C650" s="5">
        <f t="shared" si="10"/>
        <v>0</v>
      </c>
    </row>
    <row r="651" spans="1:3" x14ac:dyDescent="0.3">
      <c r="A651" s="5">
        <v>23</v>
      </c>
      <c r="B651" s="5" t="s">
        <v>43</v>
      </c>
      <c r="C651" s="5">
        <f t="shared" si="10"/>
        <v>0</v>
      </c>
    </row>
    <row r="652" spans="1:3" x14ac:dyDescent="0.3">
      <c r="A652" s="5">
        <v>1</v>
      </c>
      <c r="B652" s="5" t="s">
        <v>43</v>
      </c>
      <c r="C652" s="5">
        <f t="shared" si="10"/>
        <v>0</v>
      </c>
    </row>
    <row r="653" spans="1:3" x14ac:dyDescent="0.3">
      <c r="A653" s="5">
        <v>2</v>
      </c>
      <c r="B653" s="5" t="s">
        <v>43</v>
      </c>
      <c r="C653" s="5">
        <f t="shared" si="10"/>
        <v>0</v>
      </c>
    </row>
    <row r="654" spans="1:3" x14ac:dyDescent="0.3">
      <c r="A654" s="5">
        <v>19</v>
      </c>
      <c r="B654" s="5" t="s">
        <v>43</v>
      </c>
      <c r="C654" s="5">
        <f t="shared" si="10"/>
        <v>0</v>
      </c>
    </row>
    <row r="655" spans="1:3" x14ac:dyDescent="0.3">
      <c r="A655" s="5">
        <v>2</v>
      </c>
      <c r="B655" s="5" t="s">
        <v>43</v>
      </c>
      <c r="C655" s="5">
        <f t="shared" si="10"/>
        <v>0</v>
      </c>
    </row>
    <row r="656" spans="1:3" x14ac:dyDescent="0.3">
      <c r="A656" s="5">
        <v>2</v>
      </c>
      <c r="B656" s="5" t="s">
        <v>43</v>
      </c>
      <c r="C656" s="5">
        <f t="shared" si="10"/>
        <v>0</v>
      </c>
    </row>
    <row r="657" spans="1:3" x14ac:dyDescent="0.3">
      <c r="A657" s="5">
        <v>3</v>
      </c>
      <c r="B657" s="5" t="s">
        <v>43</v>
      </c>
      <c r="C657" s="5">
        <f t="shared" si="10"/>
        <v>0</v>
      </c>
    </row>
    <row r="658" spans="1:3" x14ac:dyDescent="0.3">
      <c r="A658" s="5">
        <v>25</v>
      </c>
      <c r="B658" s="5" t="s">
        <v>35</v>
      </c>
      <c r="C658" s="5">
        <f t="shared" si="10"/>
        <v>1</v>
      </c>
    </row>
    <row r="659" spans="1:3" x14ac:dyDescent="0.3">
      <c r="A659" s="5">
        <v>7</v>
      </c>
      <c r="B659" s="5" t="s">
        <v>43</v>
      </c>
      <c r="C659" s="5">
        <f t="shared" si="10"/>
        <v>0</v>
      </c>
    </row>
    <row r="660" spans="1:3" x14ac:dyDescent="0.3">
      <c r="A660" s="5">
        <v>9</v>
      </c>
      <c r="B660" s="5" t="s">
        <v>43</v>
      </c>
      <c r="C660" s="5">
        <f t="shared" si="10"/>
        <v>0</v>
      </c>
    </row>
    <row r="661" spans="1:3" x14ac:dyDescent="0.3">
      <c r="A661" s="5">
        <v>5</v>
      </c>
      <c r="B661" s="5" t="s">
        <v>43</v>
      </c>
      <c r="C661" s="5">
        <f t="shared" si="10"/>
        <v>0</v>
      </c>
    </row>
    <row r="662" spans="1:3" x14ac:dyDescent="0.3">
      <c r="A662" s="5">
        <v>2</v>
      </c>
      <c r="B662" s="5" t="s">
        <v>35</v>
      </c>
      <c r="C662" s="5">
        <f t="shared" si="10"/>
        <v>1</v>
      </c>
    </row>
    <row r="663" spans="1:3" x14ac:dyDescent="0.3">
      <c r="A663" s="5">
        <v>8</v>
      </c>
      <c r="B663" s="5" t="s">
        <v>43</v>
      </c>
      <c r="C663" s="5">
        <f t="shared" si="10"/>
        <v>0</v>
      </c>
    </row>
    <row r="664" spans="1:3" x14ac:dyDescent="0.3">
      <c r="A664" s="5">
        <v>2</v>
      </c>
      <c r="B664" s="5" t="s">
        <v>35</v>
      </c>
      <c r="C664" s="5">
        <f t="shared" si="10"/>
        <v>1</v>
      </c>
    </row>
    <row r="665" spans="1:3" x14ac:dyDescent="0.3">
      <c r="A665" s="5">
        <v>18</v>
      </c>
      <c r="B665" s="5" t="s">
        <v>35</v>
      </c>
      <c r="C665" s="5">
        <f t="shared" si="10"/>
        <v>1</v>
      </c>
    </row>
    <row r="666" spans="1:3" x14ac:dyDescent="0.3">
      <c r="A666" s="5">
        <v>14</v>
      </c>
      <c r="B666" s="5" t="s">
        <v>43</v>
      </c>
      <c r="C666" s="5">
        <f t="shared" si="10"/>
        <v>0</v>
      </c>
    </row>
    <row r="667" spans="1:3" x14ac:dyDescent="0.3">
      <c r="A667" s="5">
        <v>2</v>
      </c>
      <c r="B667" s="5" t="s">
        <v>43</v>
      </c>
      <c r="C667" s="5">
        <f t="shared" si="10"/>
        <v>0</v>
      </c>
    </row>
    <row r="668" spans="1:3" x14ac:dyDescent="0.3">
      <c r="A668" s="5">
        <v>3</v>
      </c>
      <c r="B668" s="5" t="s">
        <v>35</v>
      </c>
      <c r="C668" s="5">
        <f t="shared" si="10"/>
        <v>1</v>
      </c>
    </row>
    <row r="669" spans="1:3" x14ac:dyDescent="0.3">
      <c r="A669" s="5">
        <v>2</v>
      </c>
      <c r="B669" s="5" t="s">
        <v>35</v>
      </c>
      <c r="C669" s="5">
        <f t="shared" si="10"/>
        <v>1</v>
      </c>
    </row>
    <row r="670" spans="1:3" x14ac:dyDescent="0.3">
      <c r="A670" s="5">
        <v>9</v>
      </c>
      <c r="B670" s="5" t="s">
        <v>43</v>
      </c>
      <c r="C670" s="5">
        <f t="shared" si="10"/>
        <v>0</v>
      </c>
    </row>
    <row r="671" spans="1:3" x14ac:dyDescent="0.3">
      <c r="A671" s="5">
        <v>6</v>
      </c>
      <c r="B671" s="5" t="s">
        <v>35</v>
      </c>
      <c r="C671" s="5">
        <f t="shared" si="10"/>
        <v>1</v>
      </c>
    </row>
    <row r="672" spans="1:3" x14ac:dyDescent="0.3">
      <c r="A672" s="5">
        <v>4</v>
      </c>
      <c r="B672" s="5" t="s">
        <v>43</v>
      </c>
      <c r="C672" s="5">
        <f t="shared" si="10"/>
        <v>0</v>
      </c>
    </row>
    <row r="673" spans="1:3" x14ac:dyDescent="0.3">
      <c r="A673" s="5">
        <v>10</v>
      </c>
      <c r="B673" s="5" t="s">
        <v>43</v>
      </c>
      <c r="C673" s="5">
        <f t="shared" si="10"/>
        <v>0</v>
      </c>
    </row>
    <row r="674" spans="1:3" x14ac:dyDescent="0.3">
      <c r="A674" s="5">
        <v>14</v>
      </c>
      <c r="B674" s="5" t="s">
        <v>43</v>
      </c>
      <c r="C674" s="5">
        <f t="shared" si="10"/>
        <v>0</v>
      </c>
    </row>
    <row r="675" spans="1:3" x14ac:dyDescent="0.3">
      <c r="A675" s="5">
        <v>1</v>
      </c>
      <c r="B675" s="5" t="s">
        <v>43</v>
      </c>
      <c r="C675" s="5">
        <f t="shared" si="10"/>
        <v>0</v>
      </c>
    </row>
    <row r="676" spans="1:3" x14ac:dyDescent="0.3">
      <c r="A676" s="5">
        <v>5</v>
      </c>
      <c r="B676" s="5" t="s">
        <v>43</v>
      </c>
      <c r="C676" s="5">
        <f t="shared" si="10"/>
        <v>0</v>
      </c>
    </row>
    <row r="677" spans="1:3" x14ac:dyDescent="0.3">
      <c r="A677" s="5">
        <v>7</v>
      </c>
      <c r="B677" s="5" t="s">
        <v>43</v>
      </c>
      <c r="C677" s="5">
        <f t="shared" si="10"/>
        <v>0</v>
      </c>
    </row>
    <row r="678" spans="1:3" x14ac:dyDescent="0.3">
      <c r="A678" s="5">
        <v>21</v>
      </c>
      <c r="B678" s="5" t="s">
        <v>43</v>
      </c>
      <c r="C678" s="5">
        <f t="shared" si="10"/>
        <v>0</v>
      </c>
    </row>
    <row r="679" spans="1:3" x14ac:dyDescent="0.3">
      <c r="A679" s="5">
        <v>8</v>
      </c>
      <c r="B679" s="5" t="s">
        <v>43</v>
      </c>
      <c r="C679" s="5">
        <f t="shared" si="10"/>
        <v>0</v>
      </c>
    </row>
    <row r="680" spans="1:3" x14ac:dyDescent="0.3">
      <c r="A680" s="5">
        <v>20</v>
      </c>
      <c r="B680" s="5" t="s">
        <v>43</v>
      </c>
      <c r="C680" s="5">
        <f t="shared" si="10"/>
        <v>0</v>
      </c>
    </row>
    <row r="681" spans="1:3" x14ac:dyDescent="0.3">
      <c r="A681" s="5">
        <v>20</v>
      </c>
      <c r="B681" s="5" t="s">
        <v>43</v>
      </c>
      <c r="C681" s="5">
        <f t="shared" si="10"/>
        <v>0</v>
      </c>
    </row>
    <row r="682" spans="1:3" x14ac:dyDescent="0.3">
      <c r="A682" s="5">
        <v>7</v>
      </c>
      <c r="B682" s="5" t="s">
        <v>43</v>
      </c>
      <c r="C682" s="5">
        <f t="shared" si="10"/>
        <v>0</v>
      </c>
    </row>
    <row r="683" spans="1:3" x14ac:dyDescent="0.3">
      <c r="A683" s="5">
        <v>1</v>
      </c>
      <c r="B683" s="5" t="s">
        <v>43</v>
      </c>
      <c r="C683" s="5">
        <f t="shared" si="10"/>
        <v>0</v>
      </c>
    </row>
    <row r="684" spans="1:3" x14ac:dyDescent="0.3">
      <c r="A684" s="5">
        <v>1</v>
      </c>
      <c r="B684" s="5" t="s">
        <v>43</v>
      </c>
      <c r="C684" s="5">
        <f t="shared" si="10"/>
        <v>0</v>
      </c>
    </row>
    <row r="685" spans="1:3" x14ac:dyDescent="0.3">
      <c r="A685" s="5">
        <v>19</v>
      </c>
      <c r="B685" s="5" t="s">
        <v>35</v>
      </c>
      <c r="C685" s="5">
        <f t="shared" si="10"/>
        <v>1</v>
      </c>
    </row>
    <row r="686" spans="1:3" x14ac:dyDescent="0.3">
      <c r="A686" s="5">
        <v>10</v>
      </c>
      <c r="B686" s="5" t="s">
        <v>43</v>
      </c>
      <c r="C686" s="5">
        <f t="shared" si="10"/>
        <v>0</v>
      </c>
    </row>
    <row r="687" spans="1:3" x14ac:dyDescent="0.3">
      <c r="A687" s="5">
        <v>1</v>
      </c>
      <c r="B687" s="5" t="s">
        <v>43</v>
      </c>
      <c r="C687" s="5">
        <f t="shared" si="10"/>
        <v>0</v>
      </c>
    </row>
    <row r="688" spans="1:3" x14ac:dyDescent="0.3">
      <c r="A688" s="5">
        <v>6</v>
      </c>
      <c r="B688" s="5" t="s">
        <v>43</v>
      </c>
      <c r="C688" s="5">
        <f t="shared" si="10"/>
        <v>0</v>
      </c>
    </row>
    <row r="689" spans="1:3" x14ac:dyDescent="0.3">
      <c r="A689" s="5">
        <v>2</v>
      </c>
      <c r="B689" s="5" t="s">
        <v>43</v>
      </c>
      <c r="C689" s="5">
        <f t="shared" si="10"/>
        <v>0</v>
      </c>
    </row>
    <row r="690" spans="1:3" x14ac:dyDescent="0.3">
      <c r="A690" s="5">
        <v>21</v>
      </c>
      <c r="B690" s="5" t="s">
        <v>35</v>
      </c>
      <c r="C690" s="5">
        <f t="shared" si="10"/>
        <v>1</v>
      </c>
    </row>
    <row r="691" spans="1:3" x14ac:dyDescent="0.3">
      <c r="A691" s="5">
        <v>4</v>
      </c>
      <c r="B691" s="5" t="s">
        <v>35</v>
      </c>
      <c r="C691" s="5">
        <f t="shared" si="10"/>
        <v>1</v>
      </c>
    </row>
    <row r="692" spans="1:3" x14ac:dyDescent="0.3">
      <c r="A692" s="5">
        <v>12</v>
      </c>
      <c r="B692" s="5" t="s">
        <v>43</v>
      </c>
      <c r="C692" s="5">
        <f t="shared" si="10"/>
        <v>0</v>
      </c>
    </row>
    <row r="693" spans="1:3" x14ac:dyDescent="0.3">
      <c r="A693" s="5">
        <v>9</v>
      </c>
      <c r="B693" s="5" t="s">
        <v>43</v>
      </c>
      <c r="C693" s="5">
        <f t="shared" si="10"/>
        <v>0</v>
      </c>
    </row>
    <row r="694" spans="1:3" x14ac:dyDescent="0.3">
      <c r="A694" s="5">
        <v>3</v>
      </c>
      <c r="B694" s="5" t="s">
        <v>43</v>
      </c>
      <c r="C694" s="5">
        <f t="shared" si="10"/>
        <v>0</v>
      </c>
    </row>
    <row r="695" spans="1:3" x14ac:dyDescent="0.3">
      <c r="A695" s="5">
        <v>3</v>
      </c>
      <c r="B695" s="5" t="s">
        <v>35</v>
      </c>
      <c r="C695" s="5">
        <f t="shared" si="10"/>
        <v>1</v>
      </c>
    </row>
    <row r="696" spans="1:3" x14ac:dyDescent="0.3">
      <c r="A696" s="5">
        <v>1</v>
      </c>
      <c r="B696" s="5" t="s">
        <v>43</v>
      </c>
      <c r="C696" s="5">
        <f t="shared" si="10"/>
        <v>0</v>
      </c>
    </row>
    <row r="697" spans="1:3" x14ac:dyDescent="0.3">
      <c r="A697" s="5">
        <v>1</v>
      </c>
      <c r="B697" s="5" t="s">
        <v>35</v>
      </c>
      <c r="C697" s="5">
        <f t="shared" si="10"/>
        <v>1</v>
      </c>
    </row>
    <row r="698" spans="1:3" x14ac:dyDescent="0.3">
      <c r="A698" s="5">
        <v>4</v>
      </c>
      <c r="B698" s="5" t="s">
        <v>43</v>
      </c>
      <c r="C698" s="5">
        <f t="shared" si="10"/>
        <v>0</v>
      </c>
    </row>
    <row r="699" spans="1:3" x14ac:dyDescent="0.3">
      <c r="A699" s="5">
        <v>20</v>
      </c>
      <c r="B699" s="5" t="s">
        <v>43</v>
      </c>
      <c r="C699" s="5">
        <f t="shared" si="10"/>
        <v>0</v>
      </c>
    </row>
    <row r="700" spans="1:3" x14ac:dyDescent="0.3">
      <c r="A700" s="5">
        <v>18</v>
      </c>
      <c r="B700" s="5" t="s">
        <v>43</v>
      </c>
      <c r="C700" s="5">
        <f t="shared" si="10"/>
        <v>0</v>
      </c>
    </row>
    <row r="701" spans="1:3" x14ac:dyDescent="0.3">
      <c r="A701" s="5">
        <v>1</v>
      </c>
      <c r="B701" s="5" t="s">
        <v>43</v>
      </c>
      <c r="C701" s="5">
        <f t="shared" si="10"/>
        <v>0</v>
      </c>
    </row>
    <row r="702" spans="1:3" x14ac:dyDescent="0.3">
      <c r="A702" s="5">
        <v>2</v>
      </c>
      <c r="B702" s="5" t="s">
        <v>35</v>
      </c>
      <c r="C702" s="5">
        <f t="shared" si="10"/>
        <v>1</v>
      </c>
    </row>
    <row r="703" spans="1:3" x14ac:dyDescent="0.3">
      <c r="A703" s="5">
        <v>2</v>
      </c>
      <c r="B703" s="5" t="s">
        <v>43</v>
      </c>
      <c r="C703" s="5">
        <f t="shared" si="10"/>
        <v>0</v>
      </c>
    </row>
    <row r="704" spans="1:3" x14ac:dyDescent="0.3">
      <c r="A704" s="5">
        <v>8</v>
      </c>
      <c r="B704" s="5" t="s">
        <v>43</v>
      </c>
      <c r="C704" s="5">
        <f t="shared" si="10"/>
        <v>0</v>
      </c>
    </row>
    <row r="705" spans="1:3" x14ac:dyDescent="0.3">
      <c r="A705" s="5">
        <v>10</v>
      </c>
      <c r="B705" s="5" t="s">
        <v>43</v>
      </c>
      <c r="C705" s="5">
        <f t="shared" si="10"/>
        <v>0</v>
      </c>
    </row>
    <row r="706" spans="1:3" x14ac:dyDescent="0.3">
      <c r="A706" s="5">
        <v>3</v>
      </c>
      <c r="B706" s="5" t="s">
        <v>43</v>
      </c>
      <c r="C706" s="5">
        <f t="shared" si="10"/>
        <v>0</v>
      </c>
    </row>
    <row r="707" spans="1:3" x14ac:dyDescent="0.3">
      <c r="A707" s="5">
        <v>2</v>
      </c>
      <c r="B707" s="5" t="s">
        <v>43</v>
      </c>
      <c r="C707" s="5">
        <f t="shared" ref="C707:C770" si="11">IF(B707="Yes",1,0)</f>
        <v>0</v>
      </c>
    </row>
    <row r="708" spans="1:3" x14ac:dyDescent="0.3">
      <c r="A708" s="5">
        <v>24</v>
      </c>
      <c r="B708" s="5" t="s">
        <v>35</v>
      </c>
      <c r="C708" s="5">
        <f t="shared" si="11"/>
        <v>1</v>
      </c>
    </row>
    <row r="709" spans="1:3" x14ac:dyDescent="0.3">
      <c r="A709" s="5">
        <v>16</v>
      </c>
      <c r="B709" s="5" t="s">
        <v>43</v>
      </c>
      <c r="C709" s="5">
        <f t="shared" si="11"/>
        <v>0</v>
      </c>
    </row>
    <row r="710" spans="1:3" x14ac:dyDescent="0.3">
      <c r="A710" s="5">
        <v>8</v>
      </c>
      <c r="B710" s="5" t="s">
        <v>43</v>
      </c>
      <c r="C710" s="5">
        <f t="shared" si="11"/>
        <v>0</v>
      </c>
    </row>
    <row r="711" spans="1:3" x14ac:dyDescent="0.3">
      <c r="A711" s="5">
        <v>9</v>
      </c>
      <c r="B711" s="5" t="s">
        <v>35</v>
      </c>
      <c r="C711" s="5">
        <f t="shared" si="11"/>
        <v>1</v>
      </c>
    </row>
    <row r="712" spans="1:3" x14ac:dyDescent="0.3">
      <c r="A712" s="5">
        <v>17</v>
      </c>
      <c r="B712" s="5" t="s">
        <v>43</v>
      </c>
      <c r="C712" s="5">
        <f t="shared" si="11"/>
        <v>0</v>
      </c>
    </row>
    <row r="713" spans="1:3" x14ac:dyDescent="0.3">
      <c r="A713" s="5">
        <v>10</v>
      </c>
      <c r="B713" s="5" t="s">
        <v>35</v>
      </c>
      <c r="C713" s="5">
        <f t="shared" si="11"/>
        <v>1</v>
      </c>
    </row>
    <row r="714" spans="1:3" x14ac:dyDescent="0.3">
      <c r="A714" s="5">
        <v>13</v>
      </c>
      <c r="B714" s="5" t="s">
        <v>43</v>
      </c>
      <c r="C714" s="5">
        <f t="shared" si="11"/>
        <v>0</v>
      </c>
    </row>
    <row r="715" spans="1:3" x14ac:dyDescent="0.3">
      <c r="A715" s="5">
        <v>1</v>
      </c>
      <c r="B715" s="5" t="s">
        <v>43</v>
      </c>
      <c r="C715" s="5">
        <f t="shared" si="11"/>
        <v>0</v>
      </c>
    </row>
    <row r="716" spans="1:3" x14ac:dyDescent="0.3">
      <c r="A716" s="5">
        <v>1</v>
      </c>
      <c r="B716" s="5" t="s">
        <v>43</v>
      </c>
      <c r="C716" s="5">
        <f t="shared" si="11"/>
        <v>0</v>
      </c>
    </row>
    <row r="717" spans="1:3" x14ac:dyDescent="0.3">
      <c r="A717" s="5">
        <v>1</v>
      </c>
      <c r="B717" s="5" t="s">
        <v>43</v>
      </c>
      <c r="C717" s="5">
        <f t="shared" si="11"/>
        <v>0</v>
      </c>
    </row>
    <row r="718" spans="1:3" x14ac:dyDescent="0.3">
      <c r="A718" s="5">
        <v>9</v>
      </c>
      <c r="B718" s="5" t="s">
        <v>43</v>
      </c>
      <c r="C718" s="5">
        <f t="shared" si="11"/>
        <v>0</v>
      </c>
    </row>
    <row r="719" spans="1:3" x14ac:dyDescent="0.3">
      <c r="A719" s="5">
        <v>16</v>
      </c>
      <c r="B719" s="5" t="s">
        <v>43</v>
      </c>
      <c r="C719" s="5">
        <f t="shared" si="11"/>
        <v>0</v>
      </c>
    </row>
    <row r="720" spans="1:3" x14ac:dyDescent="0.3">
      <c r="A720" s="5">
        <v>23</v>
      </c>
      <c r="B720" s="5" t="s">
        <v>43</v>
      </c>
      <c r="C720" s="5">
        <f t="shared" si="11"/>
        <v>0</v>
      </c>
    </row>
    <row r="721" spans="1:3" x14ac:dyDescent="0.3">
      <c r="A721" s="5">
        <v>4</v>
      </c>
      <c r="B721" s="5" t="s">
        <v>43</v>
      </c>
      <c r="C721" s="5">
        <f t="shared" si="11"/>
        <v>0</v>
      </c>
    </row>
    <row r="722" spans="1:3" x14ac:dyDescent="0.3">
      <c r="A722" s="5">
        <v>22</v>
      </c>
      <c r="B722" s="5" t="s">
        <v>35</v>
      </c>
      <c r="C722" s="5">
        <f t="shared" si="11"/>
        <v>1</v>
      </c>
    </row>
    <row r="723" spans="1:3" x14ac:dyDescent="0.3">
      <c r="A723" s="5">
        <v>24</v>
      </c>
      <c r="B723" s="5" t="s">
        <v>43</v>
      </c>
      <c r="C723" s="5">
        <f t="shared" si="11"/>
        <v>0</v>
      </c>
    </row>
    <row r="724" spans="1:3" x14ac:dyDescent="0.3">
      <c r="A724" s="5">
        <v>10</v>
      </c>
      <c r="B724" s="5" t="s">
        <v>43</v>
      </c>
      <c r="C724" s="5">
        <f t="shared" si="11"/>
        <v>0</v>
      </c>
    </row>
    <row r="725" spans="1:3" x14ac:dyDescent="0.3">
      <c r="A725" s="5">
        <v>7</v>
      </c>
      <c r="B725" s="5" t="s">
        <v>43</v>
      </c>
      <c r="C725" s="5">
        <f t="shared" si="11"/>
        <v>0</v>
      </c>
    </row>
    <row r="726" spans="1:3" x14ac:dyDescent="0.3">
      <c r="A726" s="5">
        <v>17</v>
      </c>
      <c r="B726" s="5" t="s">
        <v>43</v>
      </c>
      <c r="C726" s="5">
        <f t="shared" si="11"/>
        <v>0</v>
      </c>
    </row>
    <row r="727" spans="1:3" x14ac:dyDescent="0.3">
      <c r="A727" s="5">
        <v>14</v>
      </c>
      <c r="B727" s="5" t="s">
        <v>35</v>
      </c>
      <c r="C727" s="5">
        <f t="shared" si="11"/>
        <v>1</v>
      </c>
    </row>
    <row r="728" spans="1:3" x14ac:dyDescent="0.3">
      <c r="A728" s="5">
        <v>1</v>
      </c>
      <c r="B728" s="5" t="s">
        <v>43</v>
      </c>
      <c r="C728" s="5">
        <f t="shared" si="11"/>
        <v>0</v>
      </c>
    </row>
    <row r="729" spans="1:3" x14ac:dyDescent="0.3">
      <c r="A729" s="5">
        <v>5</v>
      </c>
      <c r="B729" s="5" t="s">
        <v>43</v>
      </c>
      <c r="C729" s="5">
        <f t="shared" si="11"/>
        <v>0</v>
      </c>
    </row>
    <row r="730" spans="1:3" x14ac:dyDescent="0.3">
      <c r="A730" s="5">
        <v>17</v>
      </c>
      <c r="B730" s="5" t="s">
        <v>43</v>
      </c>
      <c r="C730" s="5">
        <f t="shared" si="11"/>
        <v>0</v>
      </c>
    </row>
    <row r="731" spans="1:3" x14ac:dyDescent="0.3">
      <c r="A731" s="5">
        <v>25</v>
      </c>
      <c r="B731" s="5" t="s">
        <v>43</v>
      </c>
      <c r="C731" s="5">
        <f t="shared" si="11"/>
        <v>0</v>
      </c>
    </row>
    <row r="732" spans="1:3" x14ac:dyDescent="0.3">
      <c r="A732" s="5">
        <v>8</v>
      </c>
      <c r="B732" s="5" t="s">
        <v>43</v>
      </c>
      <c r="C732" s="5">
        <f t="shared" si="11"/>
        <v>0</v>
      </c>
    </row>
    <row r="733" spans="1:3" x14ac:dyDescent="0.3">
      <c r="A733" s="5">
        <v>11</v>
      </c>
      <c r="B733" s="5" t="s">
        <v>35</v>
      </c>
      <c r="C733" s="5">
        <f t="shared" si="11"/>
        <v>1</v>
      </c>
    </row>
    <row r="734" spans="1:3" x14ac:dyDescent="0.3">
      <c r="A734" s="5">
        <v>5</v>
      </c>
      <c r="B734" s="5" t="s">
        <v>35</v>
      </c>
      <c r="C734" s="5">
        <f t="shared" si="11"/>
        <v>1</v>
      </c>
    </row>
    <row r="735" spans="1:3" x14ac:dyDescent="0.3">
      <c r="A735" s="5">
        <v>2</v>
      </c>
      <c r="B735" s="5" t="s">
        <v>43</v>
      </c>
      <c r="C735" s="5">
        <f t="shared" si="11"/>
        <v>0</v>
      </c>
    </row>
    <row r="736" spans="1:3" x14ac:dyDescent="0.3">
      <c r="A736" s="5">
        <v>8</v>
      </c>
      <c r="B736" s="5" t="s">
        <v>43</v>
      </c>
      <c r="C736" s="5">
        <f t="shared" si="11"/>
        <v>0</v>
      </c>
    </row>
    <row r="737" spans="1:3" x14ac:dyDescent="0.3">
      <c r="A737" s="5">
        <v>6</v>
      </c>
      <c r="B737" s="5" t="s">
        <v>43</v>
      </c>
      <c r="C737" s="5">
        <f t="shared" si="11"/>
        <v>0</v>
      </c>
    </row>
    <row r="738" spans="1:3" x14ac:dyDescent="0.3">
      <c r="A738" s="5">
        <v>4</v>
      </c>
      <c r="B738" s="5" t="s">
        <v>43</v>
      </c>
      <c r="C738" s="5">
        <f t="shared" si="11"/>
        <v>0</v>
      </c>
    </row>
    <row r="739" spans="1:3" x14ac:dyDescent="0.3">
      <c r="A739" s="5">
        <v>7</v>
      </c>
      <c r="B739" s="5" t="s">
        <v>43</v>
      </c>
      <c r="C739" s="5">
        <f t="shared" si="11"/>
        <v>0</v>
      </c>
    </row>
    <row r="740" spans="1:3" x14ac:dyDescent="0.3">
      <c r="A740" s="5">
        <v>1</v>
      </c>
      <c r="B740" s="5" t="s">
        <v>43</v>
      </c>
      <c r="C740" s="5">
        <f t="shared" si="11"/>
        <v>0</v>
      </c>
    </row>
    <row r="741" spans="1:3" x14ac:dyDescent="0.3">
      <c r="A741" s="5">
        <v>2</v>
      </c>
      <c r="B741" s="5" t="s">
        <v>43</v>
      </c>
      <c r="C741" s="5">
        <f t="shared" si="11"/>
        <v>0</v>
      </c>
    </row>
    <row r="742" spans="1:3" x14ac:dyDescent="0.3">
      <c r="A742" s="5">
        <v>10</v>
      </c>
      <c r="B742" s="5" t="s">
        <v>43</v>
      </c>
      <c r="C742" s="5">
        <f t="shared" si="11"/>
        <v>0</v>
      </c>
    </row>
    <row r="743" spans="1:3" x14ac:dyDescent="0.3">
      <c r="A743" s="5">
        <v>5</v>
      </c>
      <c r="B743" s="5" t="s">
        <v>43</v>
      </c>
      <c r="C743" s="5">
        <f t="shared" si="11"/>
        <v>0</v>
      </c>
    </row>
    <row r="744" spans="1:3" x14ac:dyDescent="0.3">
      <c r="A744" s="5">
        <v>9</v>
      </c>
      <c r="B744" s="5" t="s">
        <v>43</v>
      </c>
      <c r="C744" s="5">
        <f t="shared" si="11"/>
        <v>0</v>
      </c>
    </row>
    <row r="745" spans="1:3" x14ac:dyDescent="0.3">
      <c r="A745" s="5">
        <v>2</v>
      </c>
      <c r="B745" s="5" t="s">
        <v>43</v>
      </c>
      <c r="C745" s="5">
        <f t="shared" si="11"/>
        <v>0</v>
      </c>
    </row>
    <row r="746" spans="1:3" x14ac:dyDescent="0.3">
      <c r="A746" s="5">
        <v>11</v>
      </c>
      <c r="B746" s="5" t="s">
        <v>35</v>
      </c>
      <c r="C746" s="5">
        <f t="shared" si="11"/>
        <v>1</v>
      </c>
    </row>
    <row r="747" spans="1:3" x14ac:dyDescent="0.3">
      <c r="A747" s="5">
        <v>18</v>
      </c>
      <c r="B747" s="5" t="s">
        <v>43</v>
      </c>
      <c r="C747" s="5">
        <f t="shared" si="11"/>
        <v>0</v>
      </c>
    </row>
    <row r="748" spans="1:3" x14ac:dyDescent="0.3">
      <c r="A748" s="5">
        <v>7</v>
      </c>
      <c r="B748" s="5" t="s">
        <v>43</v>
      </c>
      <c r="C748" s="5">
        <f t="shared" si="11"/>
        <v>0</v>
      </c>
    </row>
    <row r="749" spans="1:3" x14ac:dyDescent="0.3">
      <c r="A749" s="5">
        <v>3</v>
      </c>
      <c r="B749" s="5" t="s">
        <v>43</v>
      </c>
      <c r="C749" s="5">
        <f t="shared" si="11"/>
        <v>0</v>
      </c>
    </row>
    <row r="750" spans="1:3" x14ac:dyDescent="0.3">
      <c r="A750" s="5">
        <v>29</v>
      </c>
      <c r="B750" s="5" t="s">
        <v>35</v>
      </c>
      <c r="C750" s="5">
        <f t="shared" si="11"/>
        <v>1</v>
      </c>
    </row>
    <row r="751" spans="1:3" x14ac:dyDescent="0.3">
      <c r="A751" s="5">
        <v>2</v>
      </c>
      <c r="B751" s="5" t="s">
        <v>35</v>
      </c>
      <c r="C751" s="5">
        <f t="shared" si="11"/>
        <v>1</v>
      </c>
    </row>
    <row r="752" spans="1:3" x14ac:dyDescent="0.3">
      <c r="A752" s="5">
        <v>28</v>
      </c>
      <c r="B752" s="5" t="s">
        <v>43</v>
      </c>
      <c r="C752" s="5">
        <f t="shared" si="11"/>
        <v>0</v>
      </c>
    </row>
    <row r="753" spans="1:3" x14ac:dyDescent="0.3">
      <c r="A753" s="5">
        <v>1</v>
      </c>
      <c r="B753" s="5" t="s">
        <v>43</v>
      </c>
      <c r="C753" s="5">
        <f t="shared" si="11"/>
        <v>0</v>
      </c>
    </row>
    <row r="754" spans="1:3" x14ac:dyDescent="0.3">
      <c r="A754" s="5">
        <v>16</v>
      </c>
      <c r="B754" s="5" t="s">
        <v>35</v>
      </c>
      <c r="C754" s="5">
        <f t="shared" si="11"/>
        <v>1</v>
      </c>
    </row>
    <row r="755" spans="1:3" x14ac:dyDescent="0.3">
      <c r="A755" s="5">
        <v>22</v>
      </c>
      <c r="B755" s="5" t="s">
        <v>43</v>
      </c>
      <c r="C755" s="5">
        <f t="shared" si="11"/>
        <v>0</v>
      </c>
    </row>
    <row r="756" spans="1:3" x14ac:dyDescent="0.3">
      <c r="A756" s="5">
        <v>8</v>
      </c>
      <c r="B756" s="5" t="s">
        <v>43</v>
      </c>
      <c r="C756" s="5">
        <f t="shared" si="11"/>
        <v>0</v>
      </c>
    </row>
    <row r="757" spans="1:3" x14ac:dyDescent="0.3">
      <c r="A757" s="5">
        <v>11</v>
      </c>
      <c r="B757" s="5" t="s">
        <v>43</v>
      </c>
      <c r="C757" s="5">
        <f t="shared" si="11"/>
        <v>0</v>
      </c>
    </row>
    <row r="758" spans="1:3" x14ac:dyDescent="0.3">
      <c r="A758" s="5">
        <v>29</v>
      </c>
      <c r="B758" s="5" t="s">
        <v>43</v>
      </c>
      <c r="C758" s="5">
        <f t="shared" si="11"/>
        <v>0</v>
      </c>
    </row>
    <row r="759" spans="1:3" x14ac:dyDescent="0.3">
      <c r="A759" s="5">
        <v>1</v>
      </c>
      <c r="B759" s="5" t="s">
        <v>43</v>
      </c>
      <c r="C759" s="5">
        <f t="shared" si="11"/>
        <v>0</v>
      </c>
    </row>
    <row r="760" spans="1:3" x14ac:dyDescent="0.3">
      <c r="A760" s="5">
        <v>1</v>
      </c>
      <c r="B760" s="5" t="s">
        <v>43</v>
      </c>
      <c r="C760" s="5">
        <f t="shared" si="11"/>
        <v>0</v>
      </c>
    </row>
    <row r="761" spans="1:3" x14ac:dyDescent="0.3">
      <c r="A761" s="5">
        <v>24</v>
      </c>
      <c r="B761" s="5" t="s">
        <v>43</v>
      </c>
      <c r="C761" s="5">
        <f t="shared" si="11"/>
        <v>0</v>
      </c>
    </row>
    <row r="762" spans="1:3" x14ac:dyDescent="0.3">
      <c r="A762" s="5">
        <v>2</v>
      </c>
      <c r="B762" s="5" t="s">
        <v>43</v>
      </c>
      <c r="C762" s="5">
        <f t="shared" si="11"/>
        <v>0</v>
      </c>
    </row>
    <row r="763" spans="1:3" x14ac:dyDescent="0.3">
      <c r="A763" s="5">
        <v>15</v>
      </c>
      <c r="B763" s="5" t="s">
        <v>35</v>
      </c>
      <c r="C763" s="5">
        <f t="shared" si="11"/>
        <v>1</v>
      </c>
    </row>
    <row r="764" spans="1:3" x14ac:dyDescent="0.3">
      <c r="A764" s="5">
        <v>2</v>
      </c>
      <c r="B764" s="5" t="s">
        <v>35</v>
      </c>
      <c r="C764" s="5">
        <f t="shared" si="11"/>
        <v>1</v>
      </c>
    </row>
    <row r="765" spans="1:3" x14ac:dyDescent="0.3">
      <c r="A765" s="5">
        <v>10</v>
      </c>
      <c r="B765" s="5" t="s">
        <v>43</v>
      </c>
      <c r="C765" s="5">
        <f t="shared" si="11"/>
        <v>0</v>
      </c>
    </row>
    <row r="766" spans="1:3" x14ac:dyDescent="0.3">
      <c r="A766" s="5">
        <v>10</v>
      </c>
      <c r="B766" s="5" t="s">
        <v>43</v>
      </c>
      <c r="C766" s="5">
        <f t="shared" si="11"/>
        <v>0</v>
      </c>
    </row>
    <row r="767" spans="1:3" x14ac:dyDescent="0.3">
      <c r="A767" s="5">
        <v>3</v>
      </c>
      <c r="B767" s="5" t="s">
        <v>43</v>
      </c>
      <c r="C767" s="5">
        <f t="shared" si="11"/>
        <v>0</v>
      </c>
    </row>
    <row r="768" spans="1:3" x14ac:dyDescent="0.3">
      <c r="A768" s="5">
        <v>2</v>
      </c>
      <c r="B768" s="5" t="s">
        <v>43</v>
      </c>
      <c r="C768" s="5">
        <f t="shared" si="11"/>
        <v>0</v>
      </c>
    </row>
    <row r="769" spans="1:3" x14ac:dyDescent="0.3">
      <c r="A769" s="5">
        <v>3</v>
      </c>
      <c r="B769" s="5" t="s">
        <v>43</v>
      </c>
      <c r="C769" s="5">
        <f t="shared" si="11"/>
        <v>0</v>
      </c>
    </row>
    <row r="770" spans="1:3" x14ac:dyDescent="0.3">
      <c r="A770" s="5">
        <v>26</v>
      </c>
      <c r="B770" s="5" t="s">
        <v>43</v>
      </c>
      <c r="C770" s="5">
        <f t="shared" si="11"/>
        <v>0</v>
      </c>
    </row>
    <row r="771" spans="1:3" x14ac:dyDescent="0.3">
      <c r="A771" s="5">
        <v>1</v>
      </c>
      <c r="B771" s="5" t="s">
        <v>43</v>
      </c>
      <c r="C771" s="5">
        <f t="shared" ref="C771:C834" si="12">IF(B771="Yes",1,0)</f>
        <v>0</v>
      </c>
    </row>
    <row r="772" spans="1:3" x14ac:dyDescent="0.3">
      <c r="A772" s="5">
        <v>1</v>
      </c>
      <c r="B772" s="5" t="s">
        <v>43</v>
      </c>
      <c r="C772" s="5">
        <f t="shared" si="12"/>
        <v>0</v>
      </c>
    </row>
    <row r="773" spans="1:3" x14ac:dyDescent="0.3">
      <c r="A773" s="5">
        <v>2</v>
      </c>
      <c r="B773" s="5" t="s">
        <v>43</v>
      </c>
      <c r="C773" s="5">
        <f t="shared" si="12"/>
        <v>0</v>
      </c>
    </row>
    <row r="774" spans="1:3" x14ac:dyDescent="0.3">
      <c r="A774" s="5">
        <v>9</v>
      </c>
      <c r="B774" s="5" t="s">
        <v>43</v>
      </c>
      <c r="C774" s="5">
        <f t="shared" si="12"/>
        <v>0</v>
      </c>
    </row>
    <row r="775" spans="1:3" x14ac:dyDescent="0.3">
      <c r="A775" s="5">
        <v>12</v>
      </c>
      <c r="B775" s="5" t="s">
        <v>43</v>
      </c>
      <c r="C775" s="5">
        <f t="shared" si="12"/>
        <v>0</v>
      </c>
    </row>
    <row r="776" spans="1:3" x14ac:dyDescent="0.3">
      <c r="A776" s="5">
        <v>2</v>
      </c>
      <c r="B776" s="5" t="s">
        <v>43</v>
      </c>
      <c r="C776" s="5">
        <f t="shared" si="12"/>
        <v>0</v>
      </c>
    </row>
    <row r="777" spans="1:3" x14ac:dyDescent="0.3">
      <c r="A777" s="5">
        <v>25</v>
      </c>
      <c r="B777" s="5" t="s">
        <v>43</v>
      </c>
      <c r="C777" s="5">
        <f t="shared" si="12"/>
        <v>0</v>
      </c>
    </row>
    <row r="778" spans="1:3" x14ac:dyDescent="0.3">
      <c r="A778" s="5">
        <v>9</v>
      </c>
      <c r="B778" s="5" t="s">
        <v>35</v>
      </c>
      <c r="C778" s="5">
        <f t="shared" si="12"/>
        <v>1</v>
      </c>
    </row>
    <row r="779" spans="1:3" x14ac:dyDescent="0.3">
      <c r="A779" s="5">
        <v>10</v>
      </c>
      <c r="B779" s="5" t="s">
        <v>35</v>
      </c>
      <c r="C779" s="5">
        <f t="shared" si="12"/>
        <v>1</v>
      </c>
    </row>
    <row r="780" spans="1:3" x14ac:dyDescent="0.3">
      <c r="A780" s="5">
        <v>8</v>
      </c>
      <c r="B780" s="5" t="s">
        <v>43</v>
      </c>
      <c r="C780" s="5">
        <f t="shared" si="12"/>
        <v>0</v>
      </c>
    </row>
    <row r="781" spans="1:3" x14ac:dyDescent="0.3">
      <c r="A781" s="5">
        <v>4</v>
      </c>
      <c r="B781" s="5" t="s">
        <v>35</v>
      </c>
      <c r="C781" s="5">
        <f t="shared" si="12"/>
        <v>1</v>
      </c>
    </row>
    <row r="782" spans="1:3" x14ac:dyDescent="0.3">
      <c r="A782" s="5">
        <v>24</v>
      </c>
      <c r="B782" s="5" t="s">
        <v>35</v>
      </c>
      <c r="C782" s="5">
        <f t="shared" si="12"/>
        <v>1</v>
      </c>
    </row>
    <row r="783" spans="1:3" x14ac:dyDescent="0.3">
      <c r="A783" s="5">
        <v>1</v>
      </c>
      <c r="B783" s="5" t="s">
        <v>43</v>
      </c>
      <c r="C783" s="5">
        <f t="shared" si="12"/>
        <v>0</v>
      </c>
    </row>
    <row r="784" spans="1:3" x14ac:dyDescent="0.3">
      <c r="A784" s="5">
        <v>20</v>
      </c>
      <c r="B784" s="5" t="s">
        <v>43</v>
      </c>
      <c r="C784" s="5">
        <f t="shared" si="12"/>
        <v>0</v>
      </c>
    </row>
    <row r="785" spans="1:3" x14ac:dyDescent="0.3">
      <c r="A785" s="5">
        <v>7</v>
      </c>
      <c r="B785" s="5" t="s">
        <v>43</v>
      </c>
      <c r="C785" s="5">
        <f t="shared" si="12"/>
        <v>0</v>
      </c>
    </row>
    <row r="786" spans="1:3" x14ac:dyDescent="0.3">
      <c r="A786" s="5">
        <v>17</v>
      </c>
      <c r="B786" s="5" t="s">
        <v>43</v>
      </c>
      <c r="C786" s="5">
        <f t="shared" si="12"/>
        <v>0</v>
      </c>
    </row>
    <row r="787" spans="1:3" x14ac:dyDescent="0.3">
      <c r="A787" s="5">
        <v>20</v>
      </c>
      <c r="B787" s="5" t="s">
        <v>43</v>
      </c>
      <c r="C787" s="5">
        <f t="shared" si="12"/>
        <v>0</v>
      </c>
    </row>
    <row r="788" spans="1:3" x14ac:dyDescent="0.3">
      <c r="A788" s="5">
        <v>8</v>
      </c>
      <c r="B788" s="5" t="s">
        <v>43</v>
      </c>
      <c r="C788" s="5">
        <f t="shared" si="12"/>
        <v>0</v>
      </c>
    </row>
    <row r="789" spans="1:3" x14ac:dyDescent="0.3">
      <c r="A789" s="5">
        <v>2</v>
      </c>
      <c r="B789" s="5" t="s">
        <v>43</v>
      </c>
      <c r="C789" s="5">
        <f t="shared" si="12"/>
        <v>0</v>
      </c>
    </row>
    <row r="790" spans="1:3" x14ac:dyDescent="0.3">
      <c r="A790" s="5">
        <v>10</v>
      </c>
      <c r="B790" s="5" t="s">
        <v>43</v>
      </c>
      <c r="C790" s="5">
        <f t="shared" si="12"/>
        <v>0</v>
      </c>
    </row>
    <row r="791" spans="1:3" x14ac:dyDescent="0.3">
      <c r="A791" s="5">
        <v>1</v>
      </c>
      <c r="B791" s="5" t="s">
        <v>35</v>
      </c>
      <c r="C791" s="5">
        <f t="shared" si="12"/>
        <v>1</v>
      </c>
    </row>
    <row r="792" spans="1:3" x14ac:dyDescent="0.3">
      <c r="A792" s="5">
        <v>5</v>
      </c>
      <c r="B792" s="5" t="s">
        <v>43</v>
      </c>
      <c r="C792" s="5">
        <f t="shared" si="12"/>
        <v>0</v>
      </c>
    </row>
    <row r="793" spans="1:3" x14ac:dyDescent="0.3">
      <c r="A793" s="5">
        <v>4</v>
      </c>
      <c r="B793" s="5" t="s">
        <v>35</v>
      </c>
      <c r="C793" s="5">
        <f t="shared" si="12"/>
        <v>1</v>
      </c>
    </row>
    <row r="794" spans="1:3" x14ac:dyDescent="0.3">
      <c r="A794" s="5">
        <v>29</v>
      </c>
      <c r="B794" s="5" t="s">
        <v>35</v>
      </c>
      <c r="C794" s="5">
        <f t="shared" si="12"/>
        <v>1</v>
      </c>
    </row>
    <row r="795" spans="1:3" x14ac:dyDescent="0.3">
      <c r="A795" s="5">
        <v>15</v>
      </c>
      <c r="B795" s="5" t="s">
        <v>43</v>
      </c>
      <c r="C795" s="5">
        <f t="shared" si="12"/>
        <v>0</v>
      </c>
    </row>
    <row r="796" spans="1:3" x14ac:dyDescent="0.3">
      <c r="A796" s="5">
        <v>3</v>
      </c>
      <c r="B796" s="5" t="s">
        <v>43</v>
      </c>
      <c r="C796" s="5">
        <f t="shared" si="12"/>
        <v>0</v>
      </c>
    </row>
    <row r="797" spans="1:3" x14ac:dyDescent="0.3">
      <c r="A797" s="5">
        <v>10</v>
      </c>
      <c r="B797" s="5" t="s">
        <v>43</v>
      </c>
      <c r="C797" s="5">
        <f t="shared" si="12"/>
        <v>0</v>
      </c>
    </row>
    <row r="798" spans="1:3" x14ac:dyDescent="0.3">
      <c r="A798" s="5">
        <v>4</v>
      </c>
      <c r="B798" s="5" t="s">
        <v>35</v>
      </c>
      <c r="C798" s="5">
        <f t="shared" si="12"/>
        <v>1</v>
      </c>
    </row>
    <row r="799" spans="1:3" x14ac:dyDescent="0.3">
      <c r="A799" s="5">
        <v>21</v>
      </c>
      <c r="B799" s="5" t="s">
        <v>35</v>
      </c>
      <c r="C799" s="5">
        <f t="shared" si="12"/>
        <v>1</v>
      </c>
    </row>
    <row r="800" spans="1:3" x14ac:dyDescent="0.3">
      <c r="A800" s="5">
        <v>25</v>
      </c>
      <c r="B800" s="5" t="s">
        <v>35</v>
      </c>
      <c r="C800" s="5">
        <f t="shared" si="12"/>
        <v>1</v>
      </c>
    </row>
    <row r="801" spans="1:3" x14ac:dyDescent="0.3">
      <c r="A801" s="5">
        <v>2</v>
      </c>
      <c r="B801" s="5" t="s">
        <v>43</v>
      </c>
      <c r="C801" s="5">
        <f t="shared" si="12"/>
        <v>0</v>
      </c>
    </row>
    <row r="802" spans="1:3" x14ac:dyDescent="0.3">
      <c r="A802" s="5">
        <v>1</v>
      </c>
      <c r="B802" s="5" t="s">
        <v>35</v>
      </c>
      <c r="C802" s="5">
        <f t="shared" si="12"/>
        <v>1</v>
      </c>
    </row>
    <row r="803" spans="1:3" x14ac:dyDescent="0.3">
      <c r="A803" s="5">
        <v>1</v>
      </c>
      <c r="B803" s="5" t="s">
        <v>35</v>
      </c>
      <c r="C803" s="5">
        <f t="shared" si="12"/>
        <v>1</v>
      </c>
    </row>
    <row r="804" spans="1:3" x14ac:dyDescent="0.3">
      <c r="A804" s="5">
        <v>7</v>
      </c>
      <c r="B804" s="5" t="s">
        <v>43</v>
      </c>
      <c r="C804" s="5">
        <f t="shared" si="12"/>
        <v>0</v>
      </c>
    </row>
    <row r="805" spans="1:3" x14ac:dyDescent="0.3">
      <c r="A805" s="5">
        <v>3</v>
      </c>
      <c r="B805" s="5" t="s">
        <v>43</v>
      </c>
      <c r="C805" s="5">
        <f t="shared" si="12"/>
        <v>0</v>
      </c>
    </row>
    <row r="806" spans="1:3" x14ac:dyDescent="0.3">
      <c r="A806" s="5">
        <v>1</v>
      </c>
      <c r="B806" s="5" t="s">
        <v>43</v>
      </c>
      <c r="C806" s="5">
        <f t="shared" si="12"/>
        <v>0</v>
      </c>
    </row>
    <row r="807" spans="1:3" x14ac:dyDescent="0.3">
      <c r="A807" s="5">
        <v>9</v>
      </c>
      <c r="B807" s="5" t="s">
        <v>43</v>
      </c>
      <c r="C807" s="5">
        <f t="shared" si="12"/>
        <v>0</v>
      </c>
    </row>
    <row r="808" spans="1:3" x14ac:dyDescent="0.3">
      <c r="A808" s="5">
        <v>7</v>
      </c>
      <c r="B808" s="5" t="s">
        <v>43</v>
      </c>
      <c r="C808" s="5">
        <f t="shared" si="12"/>
        <v>0</v>
      </c>
    </row>
    <row r="809" spans="1:3" x14ac:dyDescent="0.3">
      <c r="A809" s="5">
        <v>10</v>
      </c>
      <c r="B809" s="5" t="s">
        <v>43</v>
      </c>
      <c r="C809" s="5">
        <f t="shared" si="12"/>
        <v>0</v>
      </c>
    </row>
    <row r="810" spans="1:3" x14ac:dyDescent="0.3">
      <c r="A810" s="5">
        <v>28</v>
      </c>
      <c r="B810" s="5" t="s">
        <v>43</v>
      </c>
      <c r="C810" s="5">
        <f t="shared" si="12"/>
        <v>0</v>
      </c>
    </row>
    <row r="811" spans="1:3" x14ac:dyDescent="0.3">
      <c r="A811" s="5">
        <v>3</v>
      </c>
      <c r="B811" s="5" t="s">
        <v>43</v>
      </c>
      <c r="C811" s="5">
        <f t="shared" si="12"/>
        <v>0</v>
      </c>
    </row>
    <row r="812" spans="1:3" x14ac:dyDescent="0.3">
      <c r="A812" s="5">
        <v>3</v>
      </c>
      <c r="B812" s="5" t="s">
        <v>43</v>
      </c>
      <c r="C812" s="5">
        <f t="shared" si="12"/>
        <v>0</v>
      </c>
    </row>
    <row r="813" spans="1:3" x14ac:dyDescent="0.3">
      <c r="A813" s="5">
        <v>2</v>
      </c>
      <c r="B813" s="5" t="s">
        <v>43</v>
      </c>
      <c r="C813" s="5">
        <f t="shared" si="12"/>
        <v>0</v>
      </c>
    </row>
    <row r="814" spans="1:3" x14ac:dyDescent="0.3">
      <c r="A814" s="5">
        <v>27</v>
      </c>
      <c r="B814" s="5" t="s">
        <v>43</v>
      </c>
      <c r="C814" s="5">
        <f t="shared" si="12"/>
        <v>0</v>
      </c>
    </row>
    <row r="815" spans="1:3" x14ac:dyDescent="0.3">
      <c r="A815" s="5">
        <v>2</v>
      </c>
      <c r="B815" s="5" t="s">
        <v>35</v>
      </c>
      <c r="C815" s="5">
        <f t="shared" si="12"/>
        <v>1</v>
      </c>
    </row>
    <row r="816" spans="1:3" x14ac:dyDescent="0.3">
      <c r="A816" s="5">
        <v>14</v>
      </c>
      <c r="B816" s="5" t="s">
        <v>43</v>
      </c>
      <c r="C816" s="5">
        <f t="shared" si="12"/>
        <v>0</v>
      </c>
    </row>
    <row r="817" spans="1:3" x14ac:dyDescent="0.3">
      <c r="A817" s="5">
        <v>1</v>
      </c>
      <c r="B817" s="5" t="s">
        <v>43</v>
      </c>
      <c r="C817" s="5">
        <f t="shared" si="12"/>
        <v>0</v>
      </c>
    </row>
    <row r="818" spans="1:3" x14ac:dyDescent="0.3">
      <c r="A818" s="5">
        <v>9</v>
      </c>
      <c r="B818" s="5" t="s">
        <v>43</v>
      </c>
      <c r="C818" s="5">
        <f t="shared" si="12"/>
        <v>0</v>
      </c>
    </row>
    <row r="819" spans="1:3" x14ac:dyDescent="0.3">
      <c r="A819" s="5">
        <v>18</v>
      </c>
      <c r="B819" s="5" t="s">
        <v>43</v>
      </c>
      <c r="C819" s="5">
        <f t="shared" si="12"/>
        <v>0</v>
      </c>
    </row>
    <row r="820" spans="1:3" x14ac:dyDescent="0.3">
      <c r="A820" s="5">
        <v>20</v>
      </c>
      <c r="B820" s="5" t="s">
        <v>43</v>
      </c>
      <c r="C820" s="5">
        <f t="shared" si="12"/>
        <v>0</v>
      </c>
    </row>
    <row r="821" spans="1:3" x14ac:dyDescent="0.3">
      <c r="A821" s="5">
        <v>2</v>
      </c>
      <c r="B821" s="5" t="s">
        <v>43</v>
      </c>
      <c r="C821" s="5">
        <f t="shared" si="12"/>
        <v>0</v>
      </c>
    </row>
    <row r="822" spans="1:3" x14ac:dyDescent="0.3">
      <c r="A822" s="5">
        <v>11</v>
      </c>
      <c r="B822" s="5" t="s">
        <v>43</v>
      </c>
      <c r="C822" s="5">
        <f t="shared" si="12"/>
        <v>0</v>
      </c>
    </row>
    <row r="823" spans="1:3" x14ac:dyDescent="0.3">
      <c r="A823" s="5">
        <v>8</v>
      </c>
      <c r="B823" s="5" t="s">
        <v>43</v>
      </c>
      <c r="C823" s="5">
        <f t="shared" si="12"/>
        <v>0</v>
      </c>
    </row>
    <row r="824" spans="1:3" x14ac:dyDescent="0.3">
      <c r="A824" s="5">
        <v>2</v>
      </c>
      <c r="B824" s="5" t="s">
        <v>43</v>
      </c>
      <c r="C824" s="5">
        <f t="shared" si="12"/>
        <v>0</v>
      </c>
    </row>
    <row r="825" spans="1:3" x14ac:dyDescent="0.3">
      <c r="A825" s="5">
        <v>10</v>
      </c>
      <c r="B825" s="5" t="s">
        <v>43</v>
      </c>
      <c r="C825" s="5">
        <f t="shared" si="12"/>
        <v>0</v>
      </c>
    </row>
    <row r="826" spans="1:3" x14ac:dyDescent="0.3">
      <c r="A826" s="5">
        <v>29</v>
      </c>
      <c r="B826" s="5" t="s">
        <v>43</v>
      </c>
      <c r="C826" s="5">
        <f t="shared" si="12"/>
        <v>0</v>
      </c>
    </row>
    <row r="827" spans="1:3" x14ac:dyDescent="0.3">
      <c r="A827" s="5">
        <v>8</v>
      </c>
      <c r="B827" s="5" t="s">
        <v>43</v>
      </c>
      <c r="C827" s="5">
        <f t="shared" si="12"/>
        <v>0</v>
      </c>
    </row>
    <row r="828" spans="1:3" x14ac:dyDescent="0.3">
      <c r="A828" s="5">
        <v>1</v>
      </c>
      <c r="B828" s="5" t="s">
        <v>43</v>
      </c>
      <c r="C828" s="5">
        <f t="shared" si="12"/>
        <v>0</v>
      </c>
    </row>
    <row r="829" spans="1:3" x14ac:dyDescent="0.3">
      <c r="A829" s="5">
        <v>6</v>
      </c>
      <c r="B829" s="5" t="s">
        <v>43</v>
      </c>
      <c r="C829" s="5">
        <f t="shared" si="12"/>
        <v>0</v>
      </c>
    </row>
    <row r="830" spans="1:3" x14ac:dyDescent="0.3">
      <c r="A830" s="5">
        <v>8</v>
      </c>
      <c r="B830" s="5" t="s">
        <v>35</v>
      </c>
      <c r="C830" s="5">
        <f t="shared" si="12"/>
        <v>1</v>
      </c>
    </row>
    <row r="831" spans="1:3" x14ac:dyDescent="0.3">
      <c r="A831" s="5">
        <v>9</v>
      </c>
      <c r="B831" s="5" t="s">
        <v>35</v>
      </c>
      <c r="C831" s="5">
        <f t="shared" si="12"/>
        <v>1</v>
      </c>
    </row>
    <row r="832" spans="1:3" x14ac:dyDescent="0.3">
      <c r="A832" s="5">
        <v>12</v>
      </c>
      <c r="B832" s="5" t="s">
        <v>43</v>
      </c>
      <c r="C832" s="5">
        <f t="shared" si="12"/>
        <v>0</v>
      </c>
    </row>
    <row r="833" spans="1:3" x14ac:dyDescent="0.3">
      <c r="A833" s="5">
        <v>15</v>
      </c>
      <c r="B833" s="5" t="s">
        <v>35</v>
      </c>
      <c r="C833" s="5">
        <f t="shared" si="12"/>
        <v>1</v>
      </c>
    </row>
    <row r="834" spans="1:3" x14ac:dyDescent="0.3">
      <c r="A834" s="5">
        <v>25</v>
      </c>
      <c r="B834" s="5" t="s">
        <v>43</v>
      </c>
      <c r="C834" s="5">
        <f t="shared" si="12"/>
        <v>0</v>
      </c>
    </row>
    <row r="835" spans="1:3" x14ac:dyDescent="0.3">
      <c r="A835" s="5">
        <v>6</v>
      </c>
      <c r="B835" s="5" t="s">
        <v>43</v>
      </c>
      <c r="C835" s="5">
        <f t="shared" ref="C835:C898" si="13">IF(B835="Yes",1,0)</f>
        <v>0</v>
      </c>
    </row>
    <row r="836" spans="1:3" x14ac:dyDescent="0.3">
      <c r="A836" s="5">
        <v>9</v>
      </c>
      <c r="B836" s="5" t="s">
        <v>43</v>
      </c>
      <c r="C836" s="5">
        <f t="shared" si="13"/>
        <v>0</v>
      </c>
    </row>
    <row r="837" spans="1:3" x14ac:dyDescent="0.3">
      <c r="A837" s="5">
        <v>8</v>
      </c>
      <c r="B837" s="5" t="s">
        <v>43</v>
      </c>
      <c r="C837" s="5">
        <f t="shared" si="13"/>
        <v>0</v>
      </c>
    </row>
    <row r="838" spans="1:3" x14ac:dyDescent="0.3">
      <c r="A838" s="5">
        <v>23</v>
      </c>
      <c r="B838" s="5" t="s">
        <v>35</v>
      </c>
      <c r="C838" s="5">
        <f t="shared" si="13"/>
        <v>1</v>
      </c>
    </row>
    <row r="839" spans="1:3" x14ac:dyDescent="0.3">
      <c r="A839" s="5">
        <v>9</v>
      </c>
      <c r="B839" s="5" t="s">
        <v>43</v>
      </c>
      <c r="C839" s="5">
        <f t="shared" si="13"/>
        <v>0</v>
      </c>
    </row>
    <row r="840" spans="1:3" x14ac:dyDescent="0.3">
      <c r="A840" s="5">
        <v>12</v>
      </c>
      <c r="B840" s="5" t="s">
        <v>35</v>
      </c>
      <c r="C840" s="5">
        <f t="shared" si="13"/>
        <v>1</v>
      </c>
    </row>
    <row r="841" spans="1:3" x14ac:dyDescent="0.3">
      <c r="A841" s="5">
        <v>4</v>
      </c>
      <c r="B841" s="5" t="s">
        <v>43</v>
      </c>
      <c r="C841" s="5">
        <f t="shared" si="13"/>
        <v>0</v>
      </c>
    </row>
    <row r="842" spans="1:3" x14ac:dyDescent="0.3">
      <c r="A842" s="5">
        <v>1</v>
      </c>
      <c r="B842" s="5" t="s">
        <v>43</v>
      </c>
      <c r="C842" s="5">
        <f t="shared" si="13"/>
        <v>0</v>
      </c>
    </row>
    <row r="843" spans="1:3" x14ac:dyDescent="0.3">
      <c r="A843" s="5">
        <v>24</v>
      </c>
      <c r="B843" s="5" t="s">
        <v>43</v>
      </c>
      <c r="C843" s="5">
        <f t="shared" si="13"/>
        <v>0</v>
      </c>
    </row>
    <row r="844" spans="1:3" x14ac:dyDescent="0.3">
      <c r="A844" s="5">
        <v>12</v>
      </c>
      <c r="B844" s="5" t="s">
        <v>35</v>
      </c>
      <c r="C844" s="5">
        <f t="shared" si="13"/>
        <v>1</v>
      </c>
    </row>
    <row r="845" spans="1:3" x14ac:dyDescent="0.3">
      <c r="A845" s="5">
        <v>3</v>
      </c>
      <c r="B845" s="5" t="s">
        <v>43</v>
      </c>
      <c r="C845" s="5">
        <f t="shared" si="13"/>
        <v>0</v>
      </c>
    </row>
    <row r="846" spans="1:3" x14ac:dyDescent="0.3">
      <c r="A846" s="5">
        <v>10</v>
      </c>
      <c r="B846" s="5" t="s">
        <v>43</v>
      </c>
      <c r="C846" s="5">
        <f t="shared" si="13"/>
        <v>0</v>
      </c>
    </row>
    <row r="847" spans="1:3" x14ac:dyDescent="0.3">
      <c r="A847" s="5">
        <v>26</v>
      </c>
      <c r="B847" s="5" t="s">
        <v>43</v>
      </c>
      <c r="C847" s="5">
        <f t="shared" si="13"/>
        <v>0</v>
      </c>
    </row>
    <row r="848" spans="1:3" x14ac:dyDescent="0.3">
      <c r="A848" s="5">
        <v>2</v>
      </c>
      <c r="B848" s="5" t="s">
        <v>43</v>
      </c>
      <c r="C848" s="5">
        <f t="shared" si="13"/>
        <v>0</v>
      </c>
    </row>
    <row r="849" spans="1:3" x14ac:dyDescent="0.3">
      <c r="A849" s="5">
        <v>1</v>
      </c>
      <c r="B849" s="5" t="s">
        <v>43</v>
      </c>
      <c r="C849" s="5">
        <f t="shared" si="13"/>
        <v>0</v>
      </c>
    </row>
    <row r="850" spans="1:3" x14ac:dyDescent="0.3">
      <c r="A850" s="5">
        <v>4</v>
      </c>
      <c r="B850" s="5" t="s">
        <v>43</v>
      </c>
      <c r="C850" s="5">
        <f t="shared" si="13"/>
        <v>0</v>
      </c>
    </row>
    <row r="851" spans="1:3" x14ac:dyDescent="0.3">
      <c r="A851" s="5">
        <v>9</v>
      </c>
      <c r="B851" s="5" t="s">
        <v>35</v>
      </c>
      <c r="C851" s="5">
        <f t="shared" si="13"/>
        <v>1</v>
      </c>
    </row>
    <row r="852" spans="1:3" x14ac:dyDescent="0.3">
      <c r="A852" s="5">
        <v>2</v>
      </c>
      <c r="B852" s="5" t="s">
        <v>43</v>
      </c>
      <c r="C852" s="5">
        <f t="shared" si="13"/>
        <v>0</v>
      </c>
    </row>
    <row r="853" spans="1:3" x14ac:dyDescent="0.3">
      <c r="A853" s="5">
        <v>4</v>
      </c>
      <c r="B853" s="5" t="s">
        <v>43</v>
      </c>
      <c r="C853" s="5">
        <f t="shared" si="13"/>
        <v>0</v>
      </c>
    </row>
    <row r="854" spans="1:3" x14ac:dyDescent="0.3">
      <c r="A854" s="5">
        <v>6</v>
      </c>
      <c r="B854" s="5" t="s">
        <v>43</v>
      </c>
      <c r="C854" s="5">
        <f t="shared" si="13"/>
        <v>0</v>
      </c>
    </row>
    <row r="855" spans="1:3" x14ac:dyDescent="0.3">
      <c r="A855" s="5">
        <v>9</v>
      </c>
      <c r="B855" s="5" t="s">
        <v>43</v>
      </c>
      <c r="C855" s="5">
        <f t="shared" si="13"/>
        <v>0</v>
      </c>
    </row>
    <row r="856" spans="1:3" x14ac:dyDescent="0.3">
      <c r="A856" s="5">
        <v>7</v>
      </c>
      <c r="B856" s="5" t="s">
        <v>43</v>
      </c>
      <c r="C856" s="5">
        <f t="shared" si="13"/>
        <v>0</v>
      </c>
    </row>
    <row r="857" spans="1:3" x14ac:dyDescent="0.3">
      <c r="A857" s="5">
        <v>1</v>
      </c>
      <c r="B857" s="5" t="s">
        <v>43</v>
      </c>
      <c r="C857" s="5">
        <f t="shared" si="13"/>
        <v>0</v>
      </c>
    </row>
    <row r="858" spans="1:3" x14ac:dyDescent="0.3">
      <c r="A858" s="5">
        <v>3</v>
      </c>
      <c r="B858" s="5" t="s">
        <v>43</v>
      </c>
      <c r="C858" s="5">
        <f t="shared" si="13"/>
        <v>0</v>
      </c>
    </row>
    <row r="859" spans="1:3" x14ac:dyDescent="0.3">
      <c r="A859" s="5">
        <v>10</v>
      </c>
      <c r="B859" s="5" t="s">
        <v>35</v>
      </c>
      <c r="C859" s="5">
        <f t="shared" si="13"/>
        <v>1</v>
      </c>
    </row>
    <row r="860" spans="1:3" x14ac:dyDescent="0.3">
      <c r="A860" s="5">
        <v>7</v>
      </c>
      <c r="B860" s="5" t="s">
        <v>43</v>
      </c>
      <c r="C860" s="5">
        <f t="shared" si="13"/>
        <v>0</v>
      </c>
    </row>
    <row r="861" spans="1:3" x14ac:dyDescent="0.3">
      <c r="A861" s="5">
        <v>15</v>
      </c>
      <c r="B861" s="5" t="s">
        <v>43</v>
      </c>
      <c r="C861" s="5">
        <f t="shared" si="13"/>
        <v>0</v>
      </c>
    </row>
    <row r="862" spans="1:3" x14ac:dyDescent="0.3">
      <c r="A862" s="5">
        <v>3</v>
      </c>
      <c r="B862" s="5" t="s">
        <v>35</v>
      </c>
      <c r="C862" s="5">
        <f t="shared" si="13"/>
        <v>1</v>
      </c>
    </row>
    <row r="863" spans="1:3" x14ac:dyDescent="0.3">
      <c r="A863" s="5">
        <v>2</v>
      </c>
      <c r="B863" s="5" t="s">
        <v>43</v>
      </c>
      <c r="C863" s="5">
        <f t="shared" si="13"/>
        <v>0</v>
      </c>
    </row>
    <row r="864" spans="1:3" x14ac:dyDescent="0.3">
      <c r="A864" s="5">
        <v>17</v>
      </c>
      <c r="B864" s="5" t="s">
        <v>43</v>
      </c>
      <c r="C864" s="5">
        <f t="shared" si="13"/>
        <v>0</v>
      </c>
    </row>
    <row r="865" spans="1:3" x14ac:dyDescent="0.3">
      <c r="A865" s="5">
        <v>2</v>
      </c>
      <c r="B865" s="5" t="s">
        <v>43</v>
      </c>
      <c r="C865" s="5">
        <f t="shared" si="13"/>
        <v>0</v>
      </c>
    </row>
    <row r="866" spans="1:3" x14ac:dyDescent="0.3">
      <c r="A866" s="5">
        <v>5</v>
      </c>
      <c r="B866" s="5" t="s">
        <v>35</v>
      </c>
      <c r="C866" s="5">
        <f t="shared" si="13"/>
        <v>1</v>
      </c>
    </row>
    <row r="867" spans="1:3" x14ac:dyDescent="0.3">
      <c r="A867" s="5">
        <v>29</v>
      </c>
      <c r="B867" s="5" t="s">
        <v>43</v>
      </c>
      <c r="C867" s="5">
        <f t="shared" si="13"/>
        <v>0</v>
      </c>
    </row>
    <row r="868" spans="1:3" x14ac:dyDescent="0.3">
      <c r="A868" s="5">
        <v>2</v>
      </c>
      <c r="B868" s="5" t="s">
        <v>43</v>
      </c>
      <c r="C868" s="5">
        <f t="shared" si="13"/>
        <v>0</v>
      </c>
    </row>
    <row r="869" spans="1:3" x14ac:dyDescent="0.3">
      <c r="A869" s="5">
        <v>2</v>
      </c>
      <c r="B869" s="5" t="s">
        <v>43</v>
      </c>
      <c r="C869" s="5">
        <f t="shared" si="13"/>
        <v>0</v>
      </c>
    </row>
    <row r="870" spans="1:3" x14ac:dyDescent="0.3">
      <c r="A870" s="5">
        <v>19</v>
      </c>
      <c r="B870" s="5" t="s">
        <v>43</v>
      </c>
      <c r="C870" s="5">
        <f t="shared" si="13"/>
        <v>0</v>
      </c>
    </row>
    <row r="871" spans="1:3" x14ac:dyDescent="0.3">
      <c r="A871" s="5">
        <v>15</v>
      </c>
      <c r="B871" s="5" t="s">
        <v>43</v>
      </c>
      <c r="C871" s="5">
        <f t="shared" si="13"/>
        <v>0</v>
      </c>
    </row>
    <row r="872" spans="1:3" x14ac:dyDescent="0.3">
      <c r="A872" s="5">
        <v>17</v>
      </c>
      <c r="B872" s="5" t="s">
        <v>43</v>
      </c>
      <c r="C872" s="5">
        <f t="shared" si="13"/>
        <v>0</v>
      </c>
    </row>
    <row r="873" spans="1:3" x14ac:dyDescent="0.3">
      <c r="A873" s="5">
        <v>17</v>
      </c>
      <c r="B873" s="5" t="s">
        <v>35</v>
      </c>
      <c r="C873" s="5">
        <f t="shared" si="13"/>
        <v>1</v>
      </c>
    </row>
    <row r="874" spans="1:3" x14ac:dyDescent="0.3">
      <c r="A874" s="5">
        <v>25</v>
      </c>
      <c r="B874" s="5" t="s">
        <v>43</v>
      </c>
      <c r="C874" s="5">
        <f t="shared" si="13"/>
        <v>0</v>
      </c>
    </row>
    <row r="875" spans="1:3" x14ac:dyDescent="0.3">
      <c r="A875" s="5">
        <v>6</v>
      </c>
      <c r="B875" s="5" t="s">
        <v>43</v>
      </c>
      <c r="C875" s="5">
        <f t="shared" si="13"/>
        <v>0</v>
      </c>
    </row>
    <row r="876" spans="1:3" x14ac:dyDescent="0.3">
      <c r="A876" s="5">
        <v>7</v>
      </c>
      <c r="B876" s="5" t="s">
        <v>43</v>
      </c>
      <c r="C876" s="5">
        <f t="shared" si="13"/>
        <v>0</v>
      </c>
    </row>
    <row r="877" spans="1:3" x14ac:dyDescent="0.3">
      <c r="A877" s="5">
        <v>29</v>
      </c>
      <c r="B877" s="5" t="s">
        <v>43</v>
      </c>
      <c r="C877" s="5">
        <f t="shared" si="13"/>
        <v>0</v>
      </c>
    </row>
    <row r="878" spans="1:3" x14ac:dyDescent="0.3">
      <c r="A878" s="5">
        <v>21</v>
      </c>
      <c r="B878" s="5" t="s">
        <v>43</v>
      </c>
      <c r="C878" s="5">
        <f t="shared" si="13"/>
        <v>0</v>
      </c>
    </row>
    <row r="879" spans="1:3" x14ac:dyDescent="0.3">
      <c r="A879" s="5">
        <v>2</v>
      </c>
      <c r="B879" s="5" t="s">
        <v>43</v>
      </c>
      <c r="C879" s="5">
        <f t="shared" si="13"/>
        <v>0</v>
      </c>
    </row>
    <row r="880" spans="1:3" x14ac:dyDescent="0.3">
      <c r="A880" s="5">
        <v>2</v>
      </c>
      <c r="B880" s="5" t="s">
        <v>43</v>
      </c>
      <c r="C880" s="5">
        <f t="shared" si="13"/>
        <v>0</v>
      </c>
    </row>
    <row r="881" spans="1:3" x14ac:dyDescent="0.3">
      <c r="A881" s="5">
        <v>7</v>
      </c>
      <c r="B881" s="5" t="s">
        <v>43</v>
      </c>
      <c r="C881" s="5">
        <f t="shared" si="13"/>
        <v>0</v>
      </c>
    </row>
    <row r="882" spans="1:3" x14ac:dyDescent="0.3">
      <c r="A882" s="5">
        <v>13</v>
      </c>
      <c r="B882" s="5" t="s">
        <v>43</v>
      </c>
      <c r="C882" s="5">
        <f t="shared" si="13"/>
        <v>0</v>
      </c>
    </row>
    <row r="883" spans="1:3" x14ac:dyDescent="0.3">
      <c r="A883" s="5">
        <v>2</v>
      </c>
      <c r="B883" s="5" t="s">
        <v>43</v>
      </c>
      <c r="C883" s="5">
        <f t="shared" si="13"/>
        <v>0</v>
      </c>
    </row>
    <row r="884" spans="1:3" x14ac:dyDescent="0.3">
      <c r="A884" s="5">
        <v>1</v>
      </c>
      <c r="B884" s="5" t="s">
        <v>43</v>
      </c>
      <c r="C884" s="5">
        <f t="shared" si="13"/>
        <v>0</v>
      </c>
    </row>
    <row r="885" spans="1:3" x14ac:dyDescent="0.3">
      <c r="A885" s="5">
        <v>9</v>
      </c>
      <c r="B885" s="5" t="s">
        <v>43</v>
      </c>
      <c r="C885" s="5">
        <f t="shared" si="13"/>
        <v>0</v>
      </c>
    </row>
    <row r="886" spans="1:3" x14ac:dyDescent="0.3">
      <c r="A886" s="5">
        <v>10</v>
      </c>
      <c r="B886" s="5" t="s">
        <v>43</v>
      </c>
      <c r="C886" s="5">
        <f t="shared" si="13"/>
        <v>0</v>
      </c>
    </row>
    <row r="887" spans="1:3" x14ac:dyDescent="0.3">
      <c r="A887" s="5">
        <v>10</v>
      </c>
      <c r="B887" s="5" t="s">
        <v>43</v>
      </c>
      <c r="C887" s="5">
        <f t="shared" si="13"/>
        <v>0</v>
      </c>
    </row>
    <row r="888" spans="1:3" x14ac:dyDescent="0.3">
      <c r="A888" s="5">
        <v>1</v>
      </c>
      <c r="B888" s="5" t="s">
        <v>43</v>
      </c>
      <c r="C888" s="5">
        <f t="shared" si="13"/>
        <v>0</v>
      </c>
    </row>
    <row r="889" spans="1:3" x14ac:dyDescent="0.3">
      <c r="A889" s="5">
        <v>26</v>
      </c>
      <c r="B889" s="5" t="s">
        <v>43</v>
      </c>
      <c r="C889" s="5">
        <f t="shared" si="13"/>
        <v>0</v>
      </c>
    </row>
    <row r="890" spans="1:3" x14ac:dyDescent="0.3">
      <c r="A890" s="5">
        <v>8</v>
      </c>
      <c r="B890" s="5" t="s">
        <v>43</v>
      </c>
      <c r="C890" s="5">
        <f t="shared" si="13"/>
        <v>0</v>
      </c>
    </row>
    <row r="891" spans="1:3" x14ac:dyDescent="0.3">
      <c r="A891" s="5">
        <v>14</v>
      </c>
      <c r="B891" s="5" t="s">
        <v>43</v>
      </c>
      <c r="C891" s="5">
        <f t="shared" si="13"/>
        <v>0</v>
      </c>
    </row>
    <row r="892" spans="1:3" x14ac:dyDescent="0.3">
      <c r="A892" s="5">
        <v>1</v>
      </c>
      <c r="B892" s="5" t="s">
        <v>43</v>
      </c>
      <c r="C892" s="5">
        <f t="shared" si="13"/>
        <v>0</v>
      </c>
    </row>
    <row r="893" spans="1:3" x14ac:dyDescent="0.3">
      <c r="A893" s="5">
        <v>2</v>
      </c>
      <c r="B893" s="5" t="s">
        <v>43</v>
      </c>
      <c r="C893" s="5">
        <f t="shared" si="13"/>
        <v>0</v>
      </c>
    </row>
    <row r="894" spans="1:3" x14ac:dyDescent="0.3">
      <c r="A894" s="5">
        <v>10</v>
      </c>
      <c r="B894" s="5" t="s">
        <v>35</v>
      </c>
      <c r="C894" s="5">
        <f t="shared" si="13"/>
        <v>1</v>
      </c>
    </row>
    <row r="895" spans="1:3" x14ac:dyDescent="0.3">
      <c r="A895" s="5">
        <v>1</v>
      </c>
      <c r="B895" s="5" t="s">
        <v>43</v>
      </c>
      <c r="C895" s="5">
        <f t="shared" si="13"/>
        <v>0</v>
      </c>
    </row>
    <row r="896" spans="1:3" x14ac:dyDescent="0.3">
      <c r="A896" s="5">
        <v>3</v>
      </c>
      <c r="B896" s="5" t="s">
        <v>43</v>
      </c>
      <c r="C896" s="5">
        <f t="shared" si="13"/>
        <v>0</v>
      </c>
    </row>
    <row r="897" spans="1:3" x14ac:dyDescent="0.3">
      <c r="A897" s="5">
        <v>11</v>
      </c>
      <c r="B897" s="5" t="s">
        <v>43</v>
      </c>
      <c r="C897" s="5">
        <f t="shared" si="13"/>
        <v>0</v>
      </c>
    </row>
    <row r="898" spans="1:3" x14ac:dyDescent="0.3">
      <c r="A898" s="5">
        <v>24</v>
      </c>
      <c r="B898" s="5" t="s">
        <v>43</v>
      </c>
      <c r="C898" s="5">
        <f t="shared" si="13"/>
        <v>0</v>
      </c>
    </row>
    <row r="899" spans="1:3" x14ac:dyDescent="0.3">
      <c r="A899" s="5">
        <v>3</v>
      </c>
      <c r="B899" s="5" t="s">
        <v>43</v>
      </c>
      <c r="C899" s="5">
        <f t="shared" ref="C899:C962" si="14">IF(B899="Yes",1,0)</f>
        <v>0</v>
      </c>
    </row>
    <row r="900" spans="1:3" x14ac:dyDescent="0.3">
      <c r="A900" s="5">
        <v>3</v>
      </c>
      <c r="B900" s="5" t="s">
        <v>43</v>
      </c>
      <c r="C900" s="5">
        <f t="shared" si="14"/>
        <v>0</v>
      </c>
    </row>
    <row r="901" spans="1:3" x14ac:dyDescent="0.3">
      <c r="A901" s="5">
        <v>4</v>
      </c>
      <c r="B901" s="5" t="s">
        <v>43</v>
      </c>
      <c r="C901" s="5">
        <f t="shared" si="14"/>
        <v>0</v>
      </c>
    </row>
    <row r="902" spans="1:3" x14ac:dyDescent="0.3">
      <c r="A902" s="5">
        <v>3</v>
      </c>
      <c r="B902" s="5" t="s">
        <v>43</v>
      </c>
      <c r="C902" s="5">
        <f t="shared" si="14"/>
        <v>0</v>
      </c>
    </row>
    <row r="903" spans="1:3" x14ac:dyDescent="0.3">
      <c r="A903" s="5">
        <v>2</v>
      </c>
      <c r="B903" s="5" t="s">
        <v>43</v>
      </c>
      <c r="C903" s="5">
        <f t="shared" si="14"/>
        <v>0</v>
      </c>
    </row>
    <row r="904" spans="1:3" x14ac:dyDescent="0.3">
      <c r="A904" s="5">
        <v>4</v>
      </c>
      <c r="B904" s="5" t="s">
        <v>43</v>
      </c>
      <c r="C904" s="5">
        <f t="shared" si="14"/>
        <v>0</v>
      </c>
    </row>
    <row r="905" spans="1:3" x14ac:dyDescent="0.3">
      <c r="A905" s="5">
        <v>7</v>
      </c>
      <c r="B905" s="5" t="s">
        <v>43</v>
      </c>
      <c r="C905" s="5">
        <f t="shared" si="14"/>
        <v>0</v>
      </c>
    </row>
    <row r="906" spans="1:3" x14ac:dyDescent="0.3">
      <c r="A906" s="5">
        <v>1</v>
      </c>
      <c r="B906" s="5" t="s">
        <v>43</v>
      </c>
      <c r="C906" s="5">
        <f t="shared" si="14"/>
        <v>0</v>
      </c>
    </row>
    <row r="907" spans="1:3" x14ac:dyDescent="0.3">
      <c r="A907" s="5">
        <v>1</v>
      </c>
      <c r="B907" s="5" t="s">
        <v>43</v>
      </c>
      <c r="C907" s="5">
        <f t="shared" si="14"/>
        <v>0</v>
      </c>
    </row>
    <row r="908" spans="1:3" x14ac:dyDescent="0.3">
      <c r="A908" s="5">
        <v>20</v>
      </c>
      <c r="B908" s="5" t="s">
        <v>43</v>
      </c>
      <c r="C908" s="5">
        <f t="shared" si="14"/>
        <v>0</v>
      </c>
    </row>
    <row r="909" spans="1:3" x14ac:dyDescent="0.3">
      <c r="A909" s="5">
        <v>5</v>
      </c>
      <c r="B909" s="5" t="s">
        <v>43</v>
      </c>
      <c r="C909" s="5">
        <f t="shared" si="14"/>
        <v>0</v>
      </c>
    </row>
    <row r="910" spans="1:3" x14ac:dyDescent="0.3">
      <c r="A910" s="5">
        <v>10</v>
      </c>
      <c r="B910" s="5" t="s">
        <v>43</v>
      </c>
      <c r="C910" s="5">
        <f t="shared" si="14"/>
        <v>0</v>
      </c>
    </row>
    <row r="911" spans="1:3" x14ac:dyDescent="0.3">
      <c r="A911" s="5">
        <v>25</v>
      </c>
      <c r="B911" s="5" t="s">
        <v>43</v>
      </c>
      <c r="C911" s="5">
        <f t="shared" si="14"/>
        <v>0</v>
      </c>
    </row>
    <row r="912" spans="1:3" x14ac:dyDescent="0.3">
      <c r="A912" s="5">
        <v>1</v>
      </c>
      <c r="B912" s="5" t="s">
        <v>43</v>
      </c>
      <c r="C912" s="5">
        <f t="shared" si="14"/>
        <v>0</v>
      </c>
    </row>
    <row r="913" spans="1:3" x14ac:dyDescent="0.3">
      <c r="A913" s="5">
        <v>24</v>
      </c>
      <c r="B913" s="5" t="s">
        <v>35</v>
      </c>
      <c r="C913" s="5">
        <f t="shared" si="14"/>
        <v>1</v>
      </c>
    </row>
    <row r="914" spans="1:3" x14ac:dyDescent="0.3">
      <c r="A914" s="5">
        <v>4</v>
      </c>
      <c r="B914" s="5" t="s">
        <v>43</v>
      </c>
      <c r="C914" s="5">
        <f t="shared" si="14"/>
        <v>0</v>
      </c>
    </row>
    <row r="915" spans="1:3" x14ac:dyDescent="0.3">
      <c r="A915" s="5">
        <v>2</v>
      </c>
      <c r="B915" s="5" t="s">
        <v>35</v>
      </c>
      <c r="C915" s="5">
        <f t="shared" si="14"/>
        <v>1</v>
      </c>
    </row>
    <row r="916" spans="1:3" x14ac:dyDescent="0.3">
      <c r="A916" s="5">
        <v>8</v>
      </c>
      <c r="B916" s="5" t="s">
        <v>43</v>
      </c>
      <c r="C916" s="5">
        <f t="shared" si="14"/>
        <v>0</v>
      </c>
    </row>
    <row r="917" spans="1:3" x14ac:dyDescent="0.3">
      <c r="A917" s="5">
        <v>10</v>
      </c>
      <c r="B917" s="5" t="s">
        <v>35</v>
      </c>
      <c r="C917" s="5">
        <f t="shared" si="14"/>
        <v>1</v>
      </c>
    </row>
    <row r="918" spans="1:3" x14ac:dyDescent="0.3">
      <c r="A918" s="5">
        <v>4</v>
      </c>
      <c r="B918" s="5" t="s">
        <v>43</v>
      </c>
      <c r="C918" s="5">
        <f t="shared" si="14"/>
        <v>0</v>
      </c>
    </row>
    <row r="919" spans="1:3" x14ac:dyDescent="0.3">
      <c r="A919" s="5">
        <v>2</v>
      </c>
      <c r="B919" s="5" t="s">
        <v>43</v>
      </c>
      <c r="C919" s="5">
        <f t="shared" si="14"/>
        <v>0</v>
      </c>
    </row>
    <row r="920" spans="1:3" x14ac:dyDescent="0.3">
      <c r="A920" s="5">
        <v>9</v>
      </c>
      <c r="B920" s="5" t="s">
        <v>43</v>
      </c>
      <c r="C920" s="5">
        <f t="shared" si="14"/>
        <v>0</v>
      </c>
    </row>
    <row r="921" spans="1:3" x14ac:dyDescent="0.3">
      <c r="A921" s="5">
        <v>18</v>
      </c>
      <c r="B921" s="5" t="s">
        <v>43</v>
      </c>
      <c r="C921" s="5">
        <f t="shared" si="14"/>
        <v>0</v>
      </c>
    </row>
    <row r="922" spans="1:3" x14ac:dyDescent="0.3">
      <c r="A922" s="5">
        <v>19</v>
      </c>
      <c r="B922" s="5" t="s">
        <v>43</v>
      </c>
      <c r="C922" s="5">
        <f t="shared" si="14"/>
        <v>0</v>
      </c>
    </row>
    <row r="923" spans="1:3" x14ac:dyDescent="0.3">
      <c r="A923" s="5">
        <v>1</v>
      </c>
      <c r="B923" s="5" t="s">
        <v>43</v>
      </c>
      <c r="C923" s="5">
        <f t="shared" si="14"/>
        <v>0</v>
      </c>
    </row>
    <row r="924" spans="1:3" x14ac:dyDescent="0.3">
      <c r="A924" s="5">
        <v>4</v>
      </c>
      <c r="B924" s="5" t="s">
        <v>43</v>
      </c>
      <c r="C924" s="5">
        <f t="shared" si="14"/>
        <v>0</v>
      </c>
    </row>
    <row r="925" spans="1:3" x14ac:dyDescent="0.3">
      <c r="A925" s="5">
        <v>11</v>
      </c>
      <c r="B925" s="5" t="s">
        <v>43</v>
      </c>
      <c r="C925" s="5">
        <f t="shared" si="14"/>
        <v>0</v>
      </c>
    </row>
    <row r="926" spans="1:3" x14ac:dyDescent="0.3">
      <c r="A926" s="5">
        <v>6</v>
      </c>
      <c r="B926" s="5" t="s">
        <v>43</v>
      </c>
      <c r="C926" s="5">
        <f t="shared" si="14"/>
        <v>0</v>
      </c>
    </row>
    <row r="927" spans="1:3" x14ac:dyDescent="0.3">
      <c r="A927" s="5">
        <v>7</v>
      </c>
      <c r="B927" s="5" t="s">
        <v>43</v>
      </c>
      <c r="C927" s="5">
        <f t="shared" si="14"/>
        <v>0</v>
      </c>
    </row>
    <row r="928" spans="1:3" x14ac:dyDescent="0.3">
      <c r="A928" s="5">
        <v>4</v>
      </c>
      <c r="B928" s="5" t="s">
        <v>43</v>
      </c>
      <c r="C928" s="5">
        <f t="shared" si="14"/>
        <v>0</v>
      </c>
    </row>
    <row r="929" spans="1:3" x14ac:dyDescent="0.3">
      <c r="A929" s="5">
        <v>2</v>
      </c>
      <c r="B929" s="5" t="s">
        <v>43</v>
      </c>
      <c r="C929" s="5">
        <f t="shared" si="14"/>
        <v>0</v>
      </c>
    </row>
    <row r="930" spans="1:3" x14ac:dyDescent="0.3">
      <c r="A930" s="5">
        <v>15</v>
      </c>
      <c r="B930" s="5" t="s">
        <v>35</v>
      </c>
      <c r="C930" s="5">
        <f t="shared" si="14"/>
        <v>1</v>
      </c>
    </row>
    <row r="931" spans="1:3" x14ac:dyDescent="0.3">
      <c r="A931" s="5">
        <v>2</v>
      </c>
      <c r="B931" s="5" t="s">
        <v>43</v>
      </c>
      <c r="C931" s="5">
        <f t="shared" si="14"/>
        <v>0</v>
      </c>
    </row>
    <row r="932" spans="1:3" x14ac:dyDescent="0.3">
      <c r="A932" s="5">
        <v>6</v>
      </c>
      <c r="B932" s="5" t="s">
        <v>43</v>
      </c>
      <c r="C932" s="5">
        <f t="shared" si="14"/>
        <v>0</v>
      </c>
    </row>
    <row r="933" spans="1:3" x14ac:dyDescent="0.3">
      <c r="A933" s="5">
        <v>9</v>
      </c>
      <c r="B933" s="5" t="s">
        <v>43</v>
      </c>
      <c r="C933" s="5">
        <f t="shared" si="14"/>
        <v>0</v>
      </c>
    </row>
    <row r="934" spans="1:3" x14ac:dyDescent="0.3">
      <c r="A934" s="5">
        <v>7</v>
      </c>
      <c r="B934" s="5" t="s">
        <v>35</v>
      </c>
      <c r="C934" s="5">
        <f t="shared" si="14"/>
        <v>1</v>
      </c>
    </row>
    <row r="935" spans="1:3" x14ac:dyDescent="0.3">
      <c r="A935" s="5">
        <v>1</v>
      </c>
      <c r="B935" s="5" t="s">
        <v>43</v>
      </c>
      <c r="C935" s="5">
        <f t="shared" si="14"/>
        <v>0</v>
      </c>
    </row>
    <row r="936" spans="1:3" x14ac:dyDescent="0.3">
      <c r="A936" s="5">
        <v>1</v>
      </c>
      <c r="B936" s="5" t="s">
        <v>43</v>
      </c>
      <c r="C936" s="5">
        <f t="shared" si="14"/>
        <v>0</v>
      </c>
    </row>
    <row r="937" spans="1:3" x14ac:dyDescent="0.3">
      <c r="A937" s="5">
        <v>8</v>
      </c>
      <c r="B937" s="5" t="s">
        <v>43</v>
      </c>
      <c r="C937" s="5">
        <f t="shared" si="14"/>
        <v>0</v>
      </c>
    </row>
    <row r="938" spans="1:3" x14ac:dyDescent="0.3">
      <c r="A938" s="5">
        <v>25</v>
      </c>
      <c r="B938" s="5" t="s">
        <v>43</v>
      </c>
      <c r="C938" s="5">
        <f t="shared" si="14"/>
        <v>0</v>
      </c>
    </row>
    <row r="939" spans="1:3" x14ac:dyDescent="0.3">
      <c r="A939" s="5">
        <v>13</v>
      </c>
      <c r="B939" s="5" t="s">
        <v>43</v>
      </c>
      <c r="C939" s="5">
        <f t="shared" si="14"/>
        <v>0</v>
      </c>
    </row>
    <row r="940" spans="1:3" x14ac:dyDescent="0.3">
      <c r="A940" s="5">
        <v>23</v>
      </c>
      <c r="B940" s="5" t="s">
        <v>43</v>
      </c>
      <c r="C940" s="5">
        <f t="shared" si="14"/>
        <v>0</v>
      </c>
    </row>
    <row r="941" spans="1:3" x14ac:dyDescent="0.3">
      <c r="A941" s="5">
        <v>7</v>
      </c>
      <c r="B941" s="5" t="s">
        <v>35</v>
      </c>
      <c r="C941" s="5">
        <f t="shared" si="14"/>
        <v>1</v>
      </c>
    </row>
    <row r="942" spans="1:3" x14ac:dyDescent="0.3">
      <c r="A942" s="5">
        <v>23</v>
      </c>
      <c r="B942" s="5" t="s">
        <v>35</v>
      </c>
      <c r="C942" s="5">
        <f t="shared" si="14"/>
        <v>1</v>
      </c>
    </row>
    <row r="943" spans="1:3" x14ac:dyDescent="0.3">
      <c r="A943" s="5">
        <v>6</v>
      </c>
      <c r="B943" s="5" t="s">
        <v>43</v>
      </c>
      <c r="C943" s="5">
        <f t="shared" si="14"/>
        <v>0</v>
      </c>
    </row>
    <row r="944" spans="1:3" x14ac:dyDescent="0.3">
      <c r="A944" s="5">
        <v>10</v>
      </c>
      <c r="B944" s="5" t="s">
        <v>43</v>
      </c>
      <c r="C944" s="5">
        <f t="shared" si="14"/>
        <v>0</v>
      </c>
    </row>
    <row r="945" spans="1:3" x14ac:dyDescent="0.3">
      <c r="A945" s="5">
        <v>1</v>
      </c>
      <c r="B945" s="5" t="s">
        <v>43</v>
      </c>
      <c r="C945" s="5">
        <f t="shared" si="14"/>
        <v>0</v>
      </c>
    </row>
    <row r="946" spans="1:3" x14ac:dyDescent="0.3">
      <c r="A946" s="5">
        <v>1</v>
      </c>
      <c r="B946" s="5" t="s">
        <v>43</v>
      </c>
      <c r="C946" s="5">
        <f t="shared" si="14"/>
        <v>0</v>
      </c>
    </row>
    <row r="947" spans="1:3" x14ac:dyDescent="0.3">
      <c r="A947" s="5">
        <v>28</v>
      </c>
      <c r="B947" s="5" t="s">
        <v>43</v>
      </c>
      <c r="C947" s="5">
        <f t="shared" si="14"/>
        <v>0</v>
      </c>
    </row>
    <row r="948" spans="1:3" x14ac:dyDescent="0.3">
      <c r="A948" s="5">
        <v>25</v>
      </c>
      <c r="B948" s="5" t="s">
        <v>35</v>
      </c>
      <c r="C948" s="5">
        <f t="shared" si="14"/>
        <v>1</v>
      </c>
    </row>
    <row r="949" spans="1:3" x14ac:dyDescent="0.3">
      <c r="A949" s="5">
        <v>5</v>
      </c>
      <c r="B949" s="5" t="s">
        <v>35</v>
      </c>
      <c r="C949" s="5">
        <f t="shared" si="14"/>
        <v>1</v>
      </c>
    </row>
    <row r="950" spans="1:3" x14ac:dyDescent="0.3">
      <c r="A950" s="5">
        <v>17</v>
      </c>
      <c r="B950" s="5" t="s">
        <v>43</v>
      </c>
      <c r="C950" s="5">
        <f t="shared" si="14"/>
        <v>0</v>
      </c>
    </row>
    <row r="951" spans="1:3" x14ac:dyDescent="0.3">
      <c r="A951" s="5">
        <v>18</v>
      </c>
      <c r="B951" s="5" t="s">
        <v>43</v>
      </c>
      <c r="C951" s="5">
        <f t="shared" si="14"/>
        <v>0</v>
      </c>
    </row>
    <row r="952" spans="1:3" x14ac:dyDescent="0.3">
      <c r="A952" s="5">
        <v>2</v>
      </c>
      <c r="B952" s="5" t="s">
        <v>43</v>
      </c>
      <c r="C952" s="5">
        <f t="shared" si="14"/>
        <v>0</v>
      </c>
    </row>
    <row r="953" spans="1:3" x14ac:dyDescent="0.3">
      <c r="A953" s="5">
        <v>10</v>
      </c>
      <c r="B953" s="5" t="s">
        <v>43</v>
      </c>
      <c r="C953" s="5">
        <f t="shared" si="14"/>
        <v>0</v>
      </c>
    </row>
    <row r="954" spans="1:3" x14ac:dyDescent="0.3">
      <c r="A954" s="5">
        <v>1</v>
      </c>
      <c r="B954" s="5" t="s">
        <v>35</v>
      </c>
      <c r="C954" s="5">
        <f t="shared" si="14"/>
        <v>1</v>
      </c>
    </row>
    <row r="955" spans="1:3" x14ac:dyDescent="0.3">
      <c r="A955" s="5">
        <v>3</v>
      </c>
      <c r="B955" s="5" t="s">
        <v>35</v>
      </c>
      <c r="C955" s="5">
        <f t="shared" si="14"/>
        <v>1</v>
      </c>
    </row>
    <row r="956" spans="1:3" x14ac:dyDescent="0.3">
      <c r="A956" s="5">
        <v>2</v>
      </c>
      <c r="B956" s="5" t="s">
        <v>43</v>
      </c>
      <c r="C956" s="5">
        <f t="shared" si="14"/>
        <v>0</v>
      </c>
    </row>
    <row r="957" spans="1:3" x14ac:dyDescent="0.3">
      <c r="A957" s="5">
        <v>2</v>
      </c>
      <c r="B957" s="5" t="s">
        <v>43</v>
      </c>
      <c r="C957" s="5">
        <f t="shared" si="14"/>
        <v>0</v>
      </c>
    </row>
    <row r="958" spans="1:3" x14ac:dyDescent="0.3">
      <c r="A958" s="5">
        <v>8</v>
      </c>
      <c r="B958" s="5" t="s">
        <v>43</v>
      </c>
      <c r="C958" s="5">
        <f t="shared" si="14"/>
        <v>0</v>
      </c>
    </row>
    <row r="959" spans="1:3" x14ac:dyDescent="0.3">
      <c r="A959" s="5">
        <v>16</v>
      </c>
      <c r="B959" s="5" t="s">
        <v>43</v>
      </c>
      <c r="C959" s="5">
        <f t="shared" si="14"/>
        <v>0</v>
      </c>
    </row>
    <row r="960" spans="1:3" x14ac:dyDescent="0.3">
      <c r="A960" s="5">
        <v>9</v>
      </c>
      <c r="B960" s="5" t="s">
        <v>43</v>
      </c>
      <c r="C960" s="5">
        <f t="shared" si="14"/>
        <v>0</v>
      </c>
    </row>
    <row r="961" spans="1:3" x14ac:dyDescent="0.3">
      <c r="A961" s="5">
        <v>2</v>
      </c>
      <c r="B961" s="5" t="s">
        <v>43</v>
      </c>
      <c r="C961" s="5">
        <f t="shared" si="14"/>
        <v>0</v>
      </c>
    </row>
    <row r="962" spans="1:3" x14ac:dyDescent="0.3">
      <c r="A962" s="5">
        <v>1</v>
      </c>
      <c r="B962" s="5" t="s">
        <v>43</v>
      </c>
      <c r="C962" s="5">
        <f t="shared" si="14"/>
        <v>0</v>
      </c>
    </row>
    <row r="963" spans="1:3" x14ac:dyDescent="0.3">
      <c r="A963" s="5">
        <v>4</v>
      </c>
      <c r="B963" s="5" t="s">
        <v>43</v>
      </c>
      <c r="C963" s="5">
        <f t="shared" ref="C963:C1026" si="15">IF(B963="Yes",1,0)</f>
        <v>0</v>
      </c>
    </row>
    <row r="964" spans="1:3" x14ac:dyDescent="0.3">
      <c r="A964" s="5">
        <v>5</v>
      </c>
      <c r="B964" s="5" t="s">
        <v>43</v>
      </c>
      <c r="C964" s="5">
        <f t="shared" si="15"/>
        <v>0</v>
      </c>
    </row>
    <row r="965" spans="1:3" x14ac:dyDescent="0.3">
      <c r="A965" s="5">
        <v>2</v>
      </c>
      <c r="B965" s="5" t="s">
        <v>43</v>
      </c>
      <c r="C965" s="5">
        <f t="shared" si="15"/>
        <v>0</v>
      </c>
    </row>
    <row r="966" spans="1:3" x14ac:dyDescent="0.3">
      <c r="A966" s="5">
        <v>15</v>
      </c>
      <c r="B966" s="5" t="s">
        <v>43</v>
      </c>
      <c r="C966" s="5">
        <f t="shared" si="15"/>
        <v>0</v>
      </c>
    </row>
    <row r="967" spans="1:3" x14ac:dyDescent="0.3">
      <c r="A967" s="5">
        <v>19</v>
      </c>
      <c r="B967" s="5" t="s">
        <v>43</v>
      </c>
      <c r="C967" s="5">
        <f t="shared" si="15"/>
        <v>0</v>
      </c>
    </row>
    <row r="968" spans="1:3" x14ac:dyDescent="0.3">
      <c r="A968" s="5">
        <v>7</v>
      </c>
      <c r="B968" s="5" t="s">
        <v>35</v>
      </c>
      <c r="C968" s="5">
        <f t="shared" si="15"/>
        <v>1</v>
      </c>
    </row>
    <row r="969" spans="1:3" x14ac:dyDescent="0.3">
      <c r="A969" s="5">
        <v>1</v>
      </c>
      <c r="B969" s="5" t="s">
        <v>43</v>
      </c>
      <c r="C969" s="5">
        <f t="shared" si="15"/>
        <v>0</v>
      </c>
    </row>
    <row r="970" spans="1:3" x14ac:dyDescent="0.3">
      <c r="A970" s="5">
        <v>7</v>
      </c>
      <c r="B970" s="5" t="s">
        <v>43</v>
      </c>
      <c r="C970" s="5">
        <f t="shared" si="15"/>
        <v>0</v>
      </c>
    </row>
    <row r="971" spans="1:3" x14ac:dyDescent="0.3">
      <c r="A971" s="5">
        <v>4</v>
      </c>
      <c r="B971" s="5" t="s">
        <v>43</v>
      </c>
      <c r="C971" s="5">
        <f t="shared" si="15"/>
        <v>0</v>
      </c>
    </row>
    <row r="972" spans="1:3" x14ac:dyDescent="0.3">
      <c r="A972" s="5">
        <v>11</v>
      </c>
      <c r="B972" s="5" t="s">
        <v>43</v>
      </c>
      <c r="C972" s="5">
        <f t="shared" si="15"/>
        <v>0</v>
      </c>
    </row>
    <row r="973" spans="1:3" x14ac:dyDescent="0.3">
      <c r="A973" s="5">
        <v>11</v>
      </c>
      <c r="B973" s="5" t="s">
        <v>43</v>
      </c>
      <c r="C973" s="5">
        <f t="shared" si="15"/>
        <v>0</v>
      </c>
    </row>
    <row r="974" spans="1:3" x14ac:dyDescent="0.3">
      <c r="A974" s="5">
        <v>1</v>
      </c>
      <c r="B974" s="5" t="s">
        <v>43</v>
      </c>
      <c r="C974" s="5">
        <f t="shared" si="15"/>
        <v>0</v>
      </c>
    </row>
    <row r="975" spans="1:3" x14ac:dyDescent="0.3">
      <c r="A975" s="5">
        <v>1</v>
      </c>
      <c r="B975" s="5" t="s">
        <v>43</v>
      </c>
      <c r="C975" s="5">
        <f t="shared" si="15"/>
        <v>0</v>
      </c>
    </row>
    <row r="976" spans="1:3" x14ac:dyDescent="0.3">
      <c r="A976" s="5">
        <v>2</v>
      </c>
      <c r="B976" s="5" t="s">
        <v>43</v>
      </c>
      <c r="C976" s="5">
        <f t="shared" si="15"/>
        <v>0</v>
      </c>
    </row>
    <row r="977" spans="1:3" x14ac:dyDescent="0.3">
      <c r="A977" s="5">
        <v>13</v>
      </c>
      <c r="B977" s="5" t="s">
        <v>35</v>
      </c>
      <c r="C977" s="5">
        <f t="shared" si="15"/>
        <v>1</v>
      </c>
    </row>
    <row r="978" spans="1:3" x14ac:dyDescent="0.3">
      <c r="A978" s="5">
        <v>23</v>
      </c>
      <c r="B978" s="5" t="s">
        <v>43</v>
      </c>
      <c r="C978" s="5">
        <f t="shared" si="15"/>
        <v>0</v>
      </c>
    </row>
    <row r="979" spans="1:3" x14ac:dyDescent="0.3">
      <c r="A979" s="5">
        <v>26</v>
      </c>
      <c r="B979" s="5" t="s">
        <v>43</v>
      </c>
      <c r="C979" s="5">
        <f t="shared" si="15"/>
        <v>0</v>
      </c>
    </row>
    <row r="980" spans="1:3" x14ac:dyDescent="0.3">
      <c r="A980" s="5">
        <v>2</v>
      </c>
      <c r="B980" s="5" t="s">
        <v>43</v>
      </c>
      <c r="C980" s="5">
        <f t="shared" si="15"/>
        <v>0</v>
      </c>
    </row>
    <row r="981" spans="1:3" x14ac:dyDescent="0.3">
      <c r="A981" s="5">
        <v>29</v>
      </c>
      <c r="B981" s="5" t="s">
        <v>43</v>
      </c>
      <c r="C981" s="5">
        <f t="shared" si="15"/>
        <v>0</v>
      </c>
    </row>
    <row r="982" spans="1:3" x14ac:dyDescent="0.3">
      <c r="A982" s="5">
        <v>2</v>
      </c>
      <c r="B982" s="5" t="s">
        <v>35</v>
      </c>
      <c r="C982" s="5">
        <f t="shared" si="15"/>
        <v>1</v>
      </c>
    </row>
    <row r="983" spans="1:3" x14ac:dyDescent="0.3">
      <c r="A983" s="5">
        <v>18</v>
      </c>
      <c r="B983" s="5" t="s">
        <v>35</v>
      </c>
      <c r="C983" s="5">
        <f t="shared" si="15"/>
        <v>1</v>
      </c>
    </row>
    <row r="984" spans="1:3" x14ac:dyDescent="0.3">
      <c r="A984" s="5">
        <v>7</v>
      </c>
      <c r="B984" s="5" t="s">
        <v>43</v>
      </c>
      <c r="C984" s="5">
        <f t="shared" si="15"/>
        <v>0</v>
      </c>
    </row>
    <row r="985" spans="1:3" x14ac:dyDescent="0.3">
      <c r="A985" s="5">
        <v>2</v>
      </c>
      <c r="B985" s="5" t="s">
        <v>43</v>
      </c>
      <c r="C985" s="5">
        <f t="shared" si="15"/>
        <v>0</v>
      </c>
    </row>
    <row r="986" spans="1:3" x14ac:dyDescent="0.3">
      <c r="A986" s="5">
        <v>26</v>
      </c>
      <c r="B986" s="5" t="s">
        <v>43</v>
      </c>
      <c r="C986" s="5">
        <f t="shared" si="15"/>
        <v>0</v>
      </c>
    </row>
    <row r="987" spans="1:3" x14ac:dyDescent="0.3">
      <c r="A987" s="5">
        <v>22</v>
      </c>
      <c r="B987" s="5" t="s">
        <v>35</v>
      </c>
      <c r="C987" s="5">
        <f t="shared" si="15"/>
        <v>1</v>
      </c>
    </row>
    <row r="988" spans="1:3" x14ac:dyDescent="0.3">
      <c r="A988" s="5">
        <v>21</v>
      </c>
      <c r="B988" s="5" t="s">
        <v>43</v>
      </c>
      <c r="C988" s="5">
        <f t="shared" si="15"/>
        <v>0</v>
      </c>
    </row>
    <row r="989" spans="1:3" x14ac:dyDescent="0.3">
      <c r="A989" s="5">
        <v>2</v>
      </c>
      <c r="B989" s="5" t="s">
        <v>43</v>
      </c>
      <c r="C989" s="5">
        <f t="shared" si="15"/>
        <v>0</v>
      </c>
    </row>
    <row r="990" spans="1:3" x14ac:dyDescent="0.3">
      <c r="A990" s="5">
        <v>22</v>
      </c>
      <c r="B990" s="5" t="s">
        <v>43</v>
      </c>
      <c r="C990" s="5">
        <f t="shared" si="15"/>
        <v>0</v>
      </c>
    </row>
    <row r="991" spans="1:3" x14ac:dyDescent="0.3">
      <c r="A991" s="5">
        <v>4</v>
      </c>
      <c r="B991" s="5" t="s">
        <v>43</v>
      </c>
      <c r="C991" s="5">
        <f t="shared" si="15"/>
        <v>0</v>
      </c>
    </row>
    <row r="992" spans="1:3" x14ac:dyDescent="0.3">
      <c r="A992" s="5">
        <v>5</v>
      </c>
      <c r="B992" s="5" t="s">
        <v>43</v>
      </c>
      <c r="C992" s="5">
        <f t="shared" si="15"/>
        <v>0</v>
      </c>
    </row>
    <row r="993" spans="1:3" x14ac:dyDescent="0.3">
      <c r="A993" s="5">
        <v>2</v>
      </c>
      <c r="B993" s="5" t="s">
        <v>43</v>
      </c>
      <c r="C993" s="5">
        <f t="shared" si="15"/>
        <v>0</v>
      </c>
    </row>
    <row r="994" spans="1:3" x14ac:dyDescent="0.3">
      <c r="A994" s="5">
        <v>25</v>
      </c>
      <c r="B994" s="5" t="s">
        <v>43</v>
      </c>
      <c r="C994" s="5">
        <f t="shared" si="15"/>
        <v>0</v>
      </c>
    </row>
    <row r="995" spans="1:3" x14ac:dyDescent="0.3">
      <c r="A995" s="5">
        <v>18</v>
      </c>
      <c r="B995" s="5" t="s">
        <v>43</v>
      </c>
      <c r="C995" s="5">
        <f t="shared" si="15"/>
        <v>0</v>
      </c>
    </row>
    <row r="996" spans="1:3" x14ac:dyDescent="0.3">
      <c r="A996" s="5">
        <v>28</v>
      </c>
      <c r="B996" s="5" t="s">
        <v>43</v>
      </c>
      <c r="C996" s="5">
        <f t="shared" si="15"/>
        <v>0</v>
      </c>
    </row>
    <row r="997" spans="1:3" x14ac:dyDescent="0.3">
      <c r="A997" s="5">
        <v>6</v>
      </c>
      <c r="B997" s="5" t="s">
        <v>43</v>
      </c>
      <c r="C997" s="5">
        <f t="shared" si="15"/>
        <v>0</v>
      </c>
    </row>
    <row r="998" spans="1:3" x14ac:dyDescent="0.3">
      <c r="A998" s="5">
        <v>10</v>
      </c>
      <c r="B998" s="5" t="s">
        <v>43</v>
      </c>
      <c r="C998" s="5">
        <f t="shared" si="15"/>
        <v>0</v>
      </c>
    </row>
    <row r="999" spans="1:3" x14ac:dyDescent="0.3">
      <c r="A999" s="5">
        <v>17</v>
      </c>
      <c r="B999" s="5" t="s">
        <v>35</v>
      </c>
      <c r="C999" s="5">
        <f t="shared" si="15"/>
        <v>1</v>
      </c>
    </row>
    <row r="1000" spans="1:3" x14ac:dyDescent="0.3">
      <c r="A1000" s="5">
        <v>2</v>
      </c>
      <c r="B1000" s="5" t="s">
        <v>43</v>
      </c>
      <c r="C1000" s="5">
        <f t="shared" si="15"/>
        <v>0</v>
      </c>
    </row>
    <row r="1001" spans="1:3" x14ac:dyDescent="0.3">
      <c r="A1001" s="5">
        <v>10</v>
      </c>
      <c r="B1001" s="5" t="s">
        <v>43</v>
      </c>
      <c r="C1001" s="5">
        <f t="shared" si="15"/>
        <v>0</v>
      </c>
    </row>
    <row r="1002" spans="1:3" x14ac:dyDescent="0.3">
      <c r="A1002" s="5">
        <v>8</v>
      </c>
      <c r="B1002" s="5" t="s">
        <v>43</v>
      </c>
      <c r="C1002" s="5">
        <f t="shared" si="15"/>
        <v>0</v>
      </c>
    </row>
    <row r="1003" spans="1:3" x14ac:dyDescent="0.3">
      <c r="A1003" s="5">
        <v>11</v>
      </c>
      <c r="B1003" s="5" t="s">
        <v>43</v>
      </c>
      <c r="C1003" s="5">
        <f t="shared" si="15"/>
        <v>0</v>
      </c>
    </row>
    <row r="1004" spans="1:3" x14ac:dyDescent="0.3">
      <c r="A1004" s="5">
        <v>18</v>
      </c>
      <c r="B1004" s="5" t="s">
        <v>43</v>
      </c>
      <c r="C1004" s="5">
        <f t="shared" si="15"/>
        <v>0</v>
      </c>
    </row>
    <row r="1005" spans="1:3" x14ac:dyDescent="0.3">
      <c r="A1005" s="5">
        <v>1</v>
      </c>
      <c r="B1005" s="5" t="s">
        <v>43</v>
      </c>
      <c r="C1005" s="5">
        <f t="shared" si="15"/>
        <v>0</v>
      </c>
    </row>
    <row r="1006" spans="1:3" x14ac:dyDescent="0.3">
      <c r="A1006" s="5">
        <v>7</v>
      </c>
      <c r="B1006" s="5" t="s">
        <v>43</v>
      </c>
      <c r="C1006" s="5">
        <f t="shared" si="15"/>
        <v>0</v>
      </c>
    </row>
    <row r="1007" spans="1:3" x14ac:dyDescent="0.3">
      <c r="A1007" s="5">
        <v>17</v>
      </c>
      <c r="B1007" s="5" t="s">
        <v>43</v>
      </c>
      <c r="C1007" s="5">
        <f t="shared" si="15"/>
        <v>0</v>
      </c>
    </row>
    <row r="1008" spans="1:3" x14ac:dyDescent="0.3">
      <c r="A1008" s="5">
        <v>28</v>
      </c>
      <c r="B1008" s="5" t="s">
        <v>35</v>
      </c>
      <c r="C1008" s="5">
        <f t="shared" si="15"/>
        <v>1</v>
      </c>
    </row>
    <row r="1009" spans="1:3" x14ac:dyDescent="0.3">
      <c r="A1009" s="5">
        <v>14</v>
      </c>
      <c r="B1009" s="5" t="s">
        <v>35</v>
      </c>
      <c r="C1009" s="5">
        <f t="shared" si="15"/>
        <v>1</v>
      </c>
    </row>
    <row r="1010" spans="1:3" x14ac:dyDescent="0.3">
      <c r="A1010" s="5">
        <v>1</v>
      </c>
      <c r="B1010" s="5" t="s">
        <v>43</v>
      </c>
      <c r="C1010" s="5">
        <f t="shared" si="15"/>
        <v>0</v>
      </c>
    </row>
    <row r="1011" spans="1:3" x14ac:dyDescent="0.3">
      <c r="A1011" s="5">
        <v>1</v>
      </c>
      <c r="B1011" s="5" t="s">
        <v>43</v>
      </c>
      <c r="C1011" s="5">
        <f t="shared" si="15"/>
        <v>0</v>
      </c>
    </row>
    <row r="1012" spans="1:3" x14ac:dyDescent="0.3">
      <c r="A1012" s="5">
        <v>1</v>
      </c>
      <c r="B1012" s="5" t="s">
        <v>43</v>
      </c>
      <c r="C1012" s="5">
        <f t="shared" si="15"/>
        <v>0</v>
      </c>
    </row>
    <row r="1013" spans="1:3" x14ac:dyDescent="0.3">
      <c r="A1013" s="5">
        <v>3</v>
      </c>
      <c r="B1013" s="5" t="s">
        <v>43</v>
      </c>
      <c r="C1013" s="5">
        <f t="shared" si="15"/>
        <v>0</v>
      </c>
    </row>
    <row r="1014" spans="1:3" x14ac:dyDescent="0.3">
      <c r="A1014" s="5">
        <v>1</v>
      </c>
      <c r="B1014" s="5" t="s">
        <v>35</v>
      </c>
      <c r="C1014" s="5">
        <f t="shared" si="15"/>
        <v>1</v>
      </c>
    </row>
    <row r="1015" spans="1:3" x14ac:dyDescent="0.3">
      <c r="A1015" s="5">
        <v>7</v>
      </c>
      <c r="B1015" s="5" t="s">
        <v>43</v>
      </c>
      <c r="C1015" s="5">
        <f t="shared" si="15"/>
        <v>0</v>
      </c>
    </row>
    <row r="1016" spans="1:3" x14ac:dyDescent="0.3">
      <c r="A1016" s="5">
        <v>8</v>
      </c>
      <c r="B1016" s="5" t="s">
        <v>43</v>
      </c>
      <c r="C1016" s="5">
        <f t="shared" si="15"/>
        <v>0</v>
      </c>
    </row>
    <row r="1017" spans="1:3" x14ac:dyDescent="0.3">
      <c r="A1017" s="5">
        <v>1</v>
      </c>
      <c r="B1017" s="5" t="s">
        <v>43</v>
      </c>
      <c r="C1017" s="5">
        <f t="shared" si="15"/>
        <v>0</v>
      </c>
    </row>
    <row r="1018" spans="1:3" x14ac:dyDescent="0.3">
      <c r="A1018" s="5">
        <v>8</v>
      </c>
      <c r="B1018" s="5" t="s">
        <v>35</v>
      </c>
      <c r="C1018" s="5">
        <f t="shared" si="15"/>
        <v>1</v>
      </c>
    </row>
    <row r="1019" spans="1:3" x14ac:dyDescent="0.3">
      <c r="A1019" s="5">
        <v>11</v>
      </c>
      <c r="B1019" s="5" t="s">
        <v>43</v>
      </c>
      <c r="C1019" s="5">
        <f t="shared" si="15"/>
        <v>0</v>
      </c>
    </row>
    <row r="1020" spans="1:3" x14ac:dyDescent="0.3">
      <c r="A1020" s="5">
        <v>4</v>
      </c>
      <c r="B1020" s="5" t="s">
        <v>43</v>
      </c>
      <c r="C1020" s="5">
        <f t="shared" si="15"/>
        <v>0</v>
      </c>
    </row>
    <row r="1021" spans="1:3" x14ac:dyDescent="0.3">
      <c r="A1021" s="5">
        <v>16</v>
      </c>
      <c r="B1021" s="5" t="s">
        <v>43</v>
      </c>
      <c r="C1021" s="5">
        <f t="shared" si="15"/>
        <v>0</v>
      </c>
    </row>
    <row r="1022" spans="1:3" x14ac:dyDescent="0.3">
      <c r="A1022" s="5">
        <v>1</v>
      </c>
      <c r="B1022" s="5" t="s">
        <v>43</v>
      </c>
      <c r="C1022" s="5">
        <f t="shared" si="15"/>
        <v>0</v>
      </c>
    </row>
    <row r="1023" spans="1:3" x14ac:dyDescent="0.3">
      <c r="A1023" s="5">
        <v>9</v>
      </c>
      <c r="B1023" s="5" t="s">
        <v>35</v>
      </c>
      <c r="C1023" s="5">
        <f t="shared" si="15"/>
        <v>1</v>
      </c>
    </row>
    <row r="1024" spans="1:3" x14ac:dyDescent="0.3">
      <c r="A1024" s="5">
        <v>5</v>
      </c>
      <c r="B1024" s="5" t="s">
        <v>43</v>
      </c>
      <c r="C1024" s="5">
        <f t="shared" si="15"/>
        <v>0</v>
      </c>
    </row>
    <row r="1025" spans="1:3" x14ac:dyDescent="0.3">
      <c r="A1025" s="5">
        <v>1</v>
      </c>
      <c r="B1025" s="5" t="s">
        <v>43</v>
      </c>
      <c r="C1025" s="5">
        <f t="shared" si="15"/>
        <v>0</v>
      </c>
    </row>
    <row r="1026" spans="1:3" x14ac:dyDescent="0.3">
      <c r="A1026" s="5">
        <v>2</v>
      </c>
      <c r="B1026" s="5" t="s">
        <v>43</v>
      </c>
      <c r="C1026" s="5">
        <f t="shared" si="15"/>
        <v>0</v>
      </c>
    </row>
    <row r="1027" spans="1:3" x14ac:dyDescent="0.3">
      <c r="A1027" s="5">
        <v>4</v>
      </c>
      <c r="B1027" s="5" t="s">
        <v>43</v>
      </c>
      <c r="C1027" s="5">
        <f t="shared" ref="C1027:C1090" si="16">IF(B1027="Yes",1,0)</f>
        <v>0</v>
      </c>
    </row>
    <row r="1028" spans="1:3" x14ac:dyDescent="0.3">
      <c r="A1028" s="5">
        <v>7</v>
      </c>
      <c r="B1028" s="5" t="s">
        <v>43</v>
      </c>
      <c r="C1028" s="5">
        <f t="shared" si="16"/>
        <v>0</v>
      </c>
    </row>
    <row r="1029" spans="1:3" x14ac:dyDescent="0.3">
      <c r="A1029" s="5">
        <v>1</v>
      </c>
      <c r="B1029" s="5" t="s">
        <v>43</v>
      </c>
      <c r="C1029" s="5">
        <f t="shared" si="16"/>
        <v>0</v>
      </c>
    </row>
    <row r="1030" spans="1:3" x14ac:dyDescent="0.3">
      <c r="A1030" s="5">
        <v>5</v>
      </c>
      <c r="B1030" s="5" t="s">
        <v>43</v>
      </c>
      <c r="C1030" s="5">
        <f t="shared" si="16"/>
        <v>0</v>
      </c>
    </row>
    <row r="1031" spans="1:3" x14ac:dyDescent="0.3">
      <c r="A1031" s="5">
        <v>9</v>
      </c>
      <c r="B1031" s="5" t="s">
        <v>43</v>
      </c>
      <c r="C1031" s="5">
        <f t="shared" si="16"/>
        <v>0</v>
      </c>
    </row>
    <row r="1032" spans="1:3" x14ac:dyDescent="0.3">
      <c r="A1032" s="5">
        <v>8</v>
      </c>
      <c r="B1032" s="5" t="s">
        <v>43</v>
      </c>
      <c r="C1032" s="5">
        <f t="shared" si="16"/>
        <v>0</v>
      </c>
    </row>
    <row r="1033" spans="1:3" x14ac:dyDescent="0.3">
      <c r="A1033" s="5">
        <v>9</v>
      </c>
      <c r="B1033" s="5" t="s">
        <v>35</v>
      </c>
      <c r="C1033" s="5">
        <f t="shared" si="16"/>
        <v>1</v>
      </c>
    </row>
    <row r="1034" spans="1:3" x14ac:dyDescent="0.3">
      <c r="A1034" s="5">
        <v>2</v>
      </c>
      <c r="B1034" s="5" t="s">
        <v>35</v>
      </c>
      <c r="C1034" s="5">
        <f t="shared" si="16"/>
        <v>1</v>
      </c>
    </row>
    <row r="1035" spans="1:3" x14ac:dyDescent="0.3">
      <c r="A1035" s="5">
        <v>1</v>
      </c>
      <c r="B1035" s="5" t="s">
        <v>35</v>
      </c>
      <c r="C1035" s="5">
        <f t="shared" si="16"/>
        <v>1</v>
      </c>
    </row>
    <row r="1036" spans="1:3" x14ac:dyDescent="0.3">
      <c r="A1036" s="5">
        <v>20</v>
      </c>
      <c r="B1036" s="5" t="s">
        <v>43</v>
      </c>
      <c r="C1036" s="5">
        <f t="shared" si="16"/>
        <v>0</v>
      </c>
    </row>
    <row r="1037" spans="1:3" x14ac:dyDescent="0.3">
      <c r="A1037" s="5">
        <v>8</v>
      </c>
      <c r="B1037" s="5" t="s">
        <v>43</v>
      </c>
      <c r="C1037" s="5">
        <f t="shared" si="16"/>
        <v>0</v>
      </c>
    </row>
    <row r="1038" spans="1:3" x14ac:dyDescent="0.3">
      <c r="A1038" s="5">
        <v>2</v>
      </c>
      <c r="B1038" s="5" t="s">
        <v>35</v>
      </c>
      <c r="C1038" s="5">
        <f t="shared" si="16"/>
        <v>1</v>
      </c>
    </row>
    <row r="1039" spans="1:3" x14ac:dyDescent="0.3">
      <c r="A1039" s="5">
        <v>29</v>
      </c>
      <c r="B1039" s="5" t="s">
        <v>43</v>
      </c>
      <c r="C1039" s="5">
        <f t="shared" si="16"/>
        <v>0</v>
      </c>
    </row>
    <row r="1040" spans="1:3" x14ac:dyDescent="0.3">
      <c r="A1040" s="5">
        <v>7</v>
      </c>
      <c r="B1040" s="5" t="s">
        <v>43</v>
      </c>
      <c r="C1040" s="5">
        <f t="shared" si="16"/>
        <v>0</v>
      </c>
    </row>
    <row r="1041" spans="1:3" x14ac:dyDescent="0.3">
      <c r="A1041" s="5">
        <v>9</v>
      </c>
      <c r="B1041" s="5" t="s">
        <v>35</v>
      </c>
      <c r="C1041" s="5">
        <f t="shared" si="16"/>
        <v>1</v>
      </c>
    </row>
    <row r="1042" spans="1:3" x14ac:dyDescent="0.3">
      <c r="A1042" s="5">
        <v>8</v>
      </c>
      <c r="B1042" s="5" t="s">
        <v>43</v>
      </c>
      <c r="C1042" s="5">
        <f t="shared" si="16"/>
        <v>0</v>
      </c>
    </row>
    <row r="1043" spans="1:3" x14ac:dyDescent="0.3">
      <c r="A1043" s="5">
        <v>5</v>
      </c>
      <c r="B1043" s="5" t="s">
        <v>43</v>
      </c>
      <c r="C1043" s="5">
        <f t="shared" si="16"/>
        <v>0</v>
      </c>
    </row>
    <row r="1044" spans="1:3" x14ac:dyDescent="0.3">
      <c r="A1044" s="5">
        <v>5</v>
      </c>
      <c r="B1044" s="5" t="s">
        <v>43</v>
      </c>
      <c r="C1044" s="5">
        <f t="shared" si="16"/>
        <v>0</v>
      </c>
    </row>
    <row r="1045" spans="1:3" x14ac:dyDescent="0.3">
      <c r="A1045" s="5">
        <v>2</v>
      </c>
      <c r="B1045" s="5" t="s">
        <v>43</v>
      </c>
      <c r="C1045" s="5">
        <f t="shared" si="16"/>
        <v>0</v>
      </c>
    </row>
    <row r="1046" spans="1:3" x14ac:dyDescent="0.3">
      <c r="A1046" s="5">
        <v>5</v>
      </c>
      <c r="B1046" s="5" t="s">
        <v>43</v>
      </c>
      <c r="C1046" s="5">
        <f t="shared" si="16"/>
        <v>0</v>
      </c>
    </row>
    <row r="1047" spans="1:3" x14ac:dyDescent="0.3">
      <c r="A1047" s="5">
        <v>2</v>
      </c>
      <c r="B1047" s="5" t="s">
        <v>43</v>
      </c>
      <c r="C1047" s="5">
        <f t="shared" si="16"/>
        <v>0</v>
      </c>
    </row>
    <row r="1048" spans="1:3" x14ac:dyDescent="0.3">
      <c r="A1048" s="5">
        <v>20</v>
      </c>
      <c r="B1048" s="5" t="s">
        <v>43</v>
      </c>
      <c r="C1048" s="5">
        <f t="shared" si="16"/>
        <v>0</v>
      </c>
    </row>
    <row r="1049" spans="1:3" x14ac:dyDescent="0.3">
      <c r="A1049" s="5">
        <v>7</v>
      </c>
      <c r="B1049" s="5" t="s">
        <v>43</v>
      </c>
      <c r="C1049" s="5">
        <f t="shared" si="16"/>
        <v>0</v>
      </c>
    </row>
    <row r="1050" spans="1:3" x14ac:dyDescent="0.3">
      <c r="A1050" s="5">
        <v>3</v>
      </c>
      <c r="B1050" s="5" t="s">
        <v>43</v>
      </c>
      <c r="C1050" s="5">
        <f t="shared" si="16"/>
        <v>0</v>
      </c>
    </row>
    <row r="1051" spans="1:3" x14ac:dyDescent="0.3">
      <c r="A1051" s="5">
        <v>16</v>
      </c>
      <c r="B1051" s="5" t="s">
        <v>43</v>
      </c>
      <c r="C1051" s="5">
        <f t="shared" si="16"/>
        <v>0</v>
      </c>
    </row>
    <row r="1052" spans="1:3" x14ac:dyDescent="0.3">
      <c r="A1052" s="5">
        <v>9</v>
      </c>
      <c r="B1052" s="5" t="s">
        <v>43</v>
      </c>
      <c r="C1052" s="5">
        <f t="shared" si="16"/>
        <v>0</v>
      </c>
    </row>
    <row r="1053" spans="1:3" x14ac:dyDescent="0.3">
      <c r="A1053" s="5">
        <v>1</v>
      </c>
      <c r="B1053" s="5" t="s">
        <v>43</v>
      </c>
      <c r="C1053" s="5">
        <f t="shared" si="16"/>
        <v>0</v>
      </c>
    </row>
    <row r="1054" spans="1:3" x14ac:dyDescent="0.3">
      <c r="A1054" s="5">
        <v>7</v>
      </c>
      <c r="B1054" s="5" t="s">
        <v>43</v>
      </c>
      <c r="C1054" s="5">
        <f t="shared" si="16"/>
        <v>0</v>
      </c>
    </row>
    <row r="1055" spans="1:3" x14ac:dyDescent="0.3">
      <c r="A1055" s="5">
        <v>1</v>
      </c>
      <c r="B1055" s="5" t="s">
        <v>43</v>
      </c>
      <c r="C1055" s="5">
        <f t="shared" si="16"/>
        <v>0</v>
      </c>
    </row>
    <row r="1056" spans="1:3" x14ac:dyDescent="0.3">
      <c r="A1056" s="5">
        <v>7</v>
      </c>
      <c r="B1056" s="5" t="s">
        <v>43</v>
      </c>
      <c r="C1056" s="5">
        <f t="shared" si="16"/>
        <v>0</v>
      </c>
    </row>
    <row r="1057" spans="1:3" x14ac:dyDescent="0.3">
      <c r="A1057" s="5">
        <v>15</v>
      </c>
      <c r="B1057" s="5" t="s">
        <v>43</v>
      </c>
      <c r="C1057" s="5">
        <f t="shared" si="16"/>
        <v>0</v>
      </c>
    </row>
    <row r="1058" spans="1:3" x14ac:dyDescent="0.3">
      <c r="A1058" s="5">
        <v>1</v>
      </c>
      <c r="B1058" s="5" t="s">
        <v>35</v>
      </c>
      <c r="C1058" s="5">
        <f t="shared" si="16"/>
        <v>1</v>
      </c>
    </row>
    <row r="1059" spans="1:3" x14ac:dyDescent="0.3">
      <c r="A1059" s="5">
        <v>13</v>
      </c>
      <c r="B1059" s="5" t="s">
        <v>35</v>
      </c>
      <c r="C1059" s="5">
        <f t="shared" si="16"/>
        <v>1</v>
      </c>
    </row>
    <row r="1060" spans="1:3" x14ac:dyDescent="0.3">
      <c r="A1060" s="5">
        <v>24</v>
      </c>
      <c r="B1060" s="5" t="s">
        <v>35</v>
      </c>
      <c r="C1060" s="5">
        <f t="shared" si="16"/>
        <v>1</v>
      </c>
    </row>
    <row r="1061" spans="1:3" x14ac:dyDescent="0.3">
      <c r="A1061" s="5">
        <v>7</v>
      </c>
      <c r="B1061" s="5" t="s">
        <v>43</v>
      </c>
      <c r="C1061" s="5">
        <f t="shared" si="16"/>
        <v>0</v>
      </c>
    </row>
    <row r="1062" spans="1:3" x14ac:dyDescent="0.3">
      <c r="A1062" s="5">
        <v>9</v>
      </c>
      <c r="B1062" s="5" t="s">
        <v>35</v>
      </c>
      <c r="C1062" s="5">
        <f t="shared" si="16"/>
        <v>1</v>
      </c>
    </row>
    <row r="1063" spans="1:3" x14ac:dyDescent="0.3">
      <c r="A1063" s="5">
        <v>13</v>
      </c>
      <c r="B1063" s="5" t="s">
        <v>43</v>
      </c>
      <c r="C1063" s="5">
        <f t="shared" si="16"/>
        <v>0</v>
      </c>
    </row>
    <row r="1064" spans="1:3" x14ac:dyDescent="0.3">
      <c r="A1064" s="5">
        <v>2</v>
      </c>
      <c r="B1064" s="5" t="s">
        <v>43</v>
      </c>
      <c r="C1064" s="5">
        <f t="shared" si="16"/>
        <v>0</v>
      </c>
    </row>
    <row r="1065" spans="1:3" x14ac:dyDescent="0.3">
      <c r="A1065" s="5">
        <v>19</v>
      </c>
      <c r="B1065" s="5" t="s">
        <v>43</v>
      </c>
      <c r="C1065" s="5">
        <f t="shared" si="16"/>
        <v>0</v>
      </c>
    </row>
    <row r="1066" spans="1:3" x14ac:dyDescent="0.3">
      <c r="A1066" s="5">
        <v>1</v>
      </c>
      <c r="B1066" s="5" t="s">
        <v>43</v>
      </c>
      <c r="C1066" s="5">
        <f t="shared" si="16"/>
        <v>0</v>
      </c>
    </row>
    <row r="1067" spans="1:3" x14ac:dyDescent="0.3">
      <c r="A1067" s="5">
        <v>4</v>
      </c>
      <c r="B1067" s="5" t="s">
        <v>43</v>
      </c>
      <c r="C1067" s="5">
        <f t="shared" si="16"/>
        <v>0</v>
      </c>
    </row>
    <row r="1068" spans="1:3" x14ac:dyDescent="0.3">
      <c r="A1068" s="5">
        <v>4</v>
      </c>
      <c r="B1068" s="5" t="s">
        <v>43</v>
      </c>
      <c r="C1068" s="5">
        <f t="shared" si="16"/>
        <v>0</v>
      </c>
    </row>
    <row r="1069" spans="1:3" x14ac:dyDescent="0.3">
      <c r="A1069" s="5">
        <v>14</v>
      </c>
      <c r="B1069" s="5" t="s">
        <v>43</v>
      </c>
      <c r="C1069" s="5">
        <f t="shared" si="16"/>
        <v>0</v>
      </c>
    </row>
    <row r="1070" spans="1:3" x14ac:dyDescent="0.3">
      <c r="A1070" s="5">
        <v>2</v>
      </c>
      <c r="B1070" s="5" t="s">
        <v>35</v>
      </c>
      <c r="C1070" s="5">
        <f t="shared" si="16"/>
        <v>1</v>
      </c>
    </row>
    <row r="1071" spans="1:3" x14ac:dyDescent="0.3">
      <c r="A1071" s="5">
        <v>1</v>
      </c>
      <c r="B1071" s="5" t="s">
        <v>43</v>
      </c>
      <c r="C1071" s="5">
        <f t="shared" si="16"/>
        <v>0</v>
      </c>
    </row>
    <row r="1072" spans="1:3" x14ac:dyDescent="0.3">
      <c r="A1072" s="5">
        <v>7</v>
      </c>
      <c r="B1072" s="5" t="s">
        <v>43</v>
      </c>
      <c r="C1072" s="5">
        <f t="shared" si="16"/>
        <v>0</v>
      </c>
    </row>
    <row r="1073" spans="1:3" x14ac:dyDescent="0.3">
      <c r="A1073" s="5">
        <v>3</v>
      </c>
      <c r="B1073" s="5" t="s">
        <v>43</v>
      </c>
      <c r="C1073" s="5">
        <f t="shared" si="16"/>
        <v>0</v>
      </c>
    </row>
    <row r="1074" spans="1:3" x14ac:dyDescent="0.3">
      <c r="A1074" s="5">
        <v>2</v>
      </c>
      <c r="B1074" s="5" t="s">
        <v>43</v>
      </c>
      <c r="C1074" s="5">
        <f t="shared" si="16"/>
        <v>0</v>
      </c>
    </row>
    <row r="1075" spans="1:3" x14ac:dyDescent="0.3">
      <c r="A1075" s="5">
        <v>29</v>
      </c>
      <c r="B1075" s="5" t="s">
        <v>43</v>
      </c>
      <c r="C1075" s="5">
        <f t="shared" si="16"/>
        <v>0</v>
      </c>
    </row>
    <row r="1076" spans="1:3" x14ac:dyDescent="0.3">
      <c r="A1076" s="5">
        <v>8</v>
      </c>
      <c r="B1076" s="5" t="s">
        <v>43</v>
      </c>
      <c r="C1076" s="5">
        <f t="shared" si="16"/>
        <v>0</v>
      </c>
    </row>
    <row r="1077" spans="1:3" x14ac:dyDescent="0.3">
      <c r="A1077" s="5">
        <v>10</v>
      </c>
      <c r="B1077" s="5" t="s">
        <v>43</v>
      </c>
      <c r="C1077" s="5">
        <f t="shared" si="16"/>
        <v>0</v>
      </c>
    </row>
    <row r="1078" spans="1:3" x14ac:dyDescent="0.3">
      <c r="A1078" s="5">
        <v>11</v>
      </c>
      <c r="B1078" s="5" t="s">
        <v>43</v>
      </c>
      <c r="C1078" s="5">
        <f t="shared" si="16"/>
        <v>0</v>
      </c>
    </row>
    <row r="1079" spans="1:3" x14ac:dyDescent="0.3">
      <c r="A1079" s="5">
        <v>1</v>
      </c>
      <c r="B1079" s="5" t="s">
        <v>35</v>
      </c>
      <c r="C1079" s="5">
        <f t="shared" si="16"/>
        <v>1</v>
      </c>
    </row>
    <row r="1080" spans="1:3" x14ac:dyDescent="0.3">
      <c r="A1080" s="5">
        <v>28</v>
      </c>
      <c r="B1080" s="5" t="s">
        <v>43</v>
      </c>
      <c r="C1080" s="5">
        <f t="shared" si="16"/>
        <v>0</v>
      </c>
    </row>
    <row r="1081" spans="1:3" x14ac:dyDescent="0.3">
      <c r="A1081" s="5">
        <v>6</v>
      </c>
      <c r="B1081" s="5" t="s">
        <v>43</v>
      </c>
      <c r="C1081" s="5">
        <f t="shared" si="16"/>
        <v>0</v>
      </c>
    </row>
    <row r="1082" spans="1:3" x14ac:dyDescent="0.3">
      <c r="A1082" s="5">
        <v>3</v>
      </c>
      <c r="B1082" s="5" t="s">
        <v>43</v>
      </c>
      <c r="C1082" s="5">
        <f t="shared" si="16"/>
        <v>0</v>
      </c>
    </row>
    <row r="1083" spans="1:3" x14ac:dyDescent="0.3">
      <c r="A1083" s="5">
        <v>16</v>
      </c>
      <c r="B1083" s="5" t="s">
        <v>43</v>
      </c>
      <c r="C1083" s="5">
        <f t="shared" si="16"/>
        <v>0</v>
      </c>
    </row>
    <row r="1084" spans="1:3" x14ac:dyDescent="0.3">
      <c r="A1084" s="5">
        <v>20</v>
      </c>
      <c r="B1084" s="5" t="s">
        <v>43</v>
      </c>
      <c r="C1084" s="5">
        <f t="shared" si="16"/>
        <v>0</v>
      </c>
    </row>
    <row r="1085" spans="1:3" x14ac:dyDescent="0.3">
      <c r="A1085" s="5">
        <v>9</v>
      </c>
      <c r="B1085" s="5" t="s">
        <v>35</v>
      </c>
      <c r="C1085" s="5">
        <f t="shared" si="16"/>
        <v>1</v>
      </c>
    </row>
    <row r="1086" spans="1:3" x14ac:dyDescent="0.3">
      <c r="A1086" s="5">
        <v>1</v>
      </c>
      <c r="B1086" s="5" t="s">
        <v>43</v>
      </c>
      <c r="C1086" s="5">
        <f t="shared" si="16"/>
        <v>0</v>
      </c>
    </row>
    <row r="1087" spans="1:3" x14ac:dyDescent="0.3">
      <c r="A1087" s="5">
        <v>3</v>
      </c>
      <c r="B1087" s="5" t="s">
        <v>35</v>
      </c>
      <c r="C1087" s="5">
        <f t="shared" si="16"/>
        <v>1</v>
      </c>
    </row>
    <row r="1088" spans="1:3" x14ac:dyDescent="0.3">
      <c r="A1088" s="5">
        <v>22</v>
      </c>
      <c r="B1088" s="5" t="s">
        <v>43</v>
      </c>
      <c r="C1088" s="5">
        <f t="shared" si="16"/>
        <v>0</v>
      </c>
    </row>
    <row r="1089" spans="1:3" x14ac:dyDescent="0.3">
      <c r="A1089" s="5">
        <v>7</v>
      </c>
      <c r="B1089" s="5" t="s">
        <v>43</v>
      </c>
      <c r="C1089" s="5">
        <f t="shared" si="16"/>
        <v>0</v>
      </c>
    </row>
    <row r="1090" spans="1:3" x14ac:dyDescent="0.3">
      <c r="A1090" s="5">
        <v>2</v>
      </c>
      <c r="B1090" s="5" t="s">
        <v>43</v>
      </c>
      <c r="C1090" s="5">
        <f t="shared" si="16"/>
        <v>0</v>
      </c>
    </row>
    <row r="1091" spans="1:3" x14ac:dyDescent="0.3">
      <c r="A1091" s="5">
        <v>13</v>
      </c>
      <c r="B1091" s="5" t="s">
        <v>43</v>
      </c>
      <c r="C1091" s="5">
        <f t="shared" ref="C1091:C1154" si="17">IF(B1091="Yes",1,0)</f>
        <v>0</v>
      </c>
    </row>
    <row r="1092" spans="1:3" x14ac:dyDescent="0.3">
      <c r="A1092" s="5">
        <v>8</v>
      </c>
      <c r="B1092" s="5" t="s">
        <v>43</v>
      </c>
      <c r="C1092" s="5">
        <f t="shared" si="17"/>
        <v>0</v>
      </c>
    </row>
    <row r="1093" spans="1:3" x14ac:dyDescent="0.3">
      <c r="A1093" s="5">
        <v>25</v>
      </c>
      <c r="B1093" s="5" t="s">
        <v>43</v>
      </c>
      <c r="C1093" s="5">
        <f t="shared" si="17"/>
        <v>0</v>
      </c>
    </row>
    <row r="1094" spans="1:3" x14ac:dyDescent="0.3">
      <c r="A1094" s="5">
        <v>28</v>
      </c>
      <c r="B1094" s="5" t="s">
        <v>43</v>
      </c>
      <c r="C1094" s="5">
        <f t="shared" si="17"/>
        <v>0</v>
      </c>
    </row>
    <row r="1095" spans="1:3" x14ac:dyDescent="0.3">
      <c r="A1095" s="5">
        <v>2</v>
      </c>
      <c r="B1095" s="5" t="s">
        <v>43</v>
      </c>
      <c r="C1095" s="5">
        <f t="shared" si="17"/>
        <v>0</v>
      </c>
    </row>
    <row r="1096" spans="1:3" x14ac:dyDescent="0.3">
      <c r="A1096" s="5">
        <v>9</v>
      </c>
      <c r="B1096" s="5" t="s">
        <v>43</v>
      </c>
      <c r="C1096" s="5">
        <f t="shared" si="17"/>
        <v>0</v>
      </c>
    </row>
    <row r="1097" spans="1:3" x14ac:dyDescent="0.3">
      <c r="A1097" s="5">
        <v>28</v>
      </c>
      <c r="B1097" s="5" t="s">
        <v>43</v>
      </c>
      <c r="C1097" s="5">
        <f t="shared" si="17"/>
        <v>0</v>
      </c>
    </row>
    <row r="1098" spans="1:3" x14ac:dyDescent="0.3">
      <c r="A1098" s="5">
        <v>6</v>
      </c>
      <c r="B1098" s="5" t="s">
        <v>43</v>
      </c>
      <c r="C1098" s="5">
        <f t="shared" si="17"/>
        <v>0</v>
      </c>
    </row>
    <row r="1099" spans="1:3" x14ac:dyDescent="0.3">
      <c r="A1099" s="5">
        <v>21</v>
      </c>
      <c r="B1099" s="5" t="s">
        <v>43</v>
      </c>
      <c r="C1099" s="5">
        <f t="shared" si="17"/>
        <v>0</v>
      </c>
    </row>
    <row r="1100" spans="1:3" x14ac:dyDescent="0.3">
      <c r="A1100" s="5">
        <v>8</v>
      </c>
      <c r="B1100" s="5" t="s">
        <v>43</v>
      </c>
      <c r="C1100" s="5">
        <f t="shared" si="17"/>
        <v>0</v>
      </c>
    </row>
    <row r="1101" spans="1:3" x14ac:dyDescent="0.3">
      <c r="A1101" s="5">
        <v>1</v>
      </c>
      <c r="B1101" s="5" t="s">
        <v>43</v>
      </c>
      <c r="C1101" s="5">
        <f t="shared" si="17"/>
        <v>0</v>
      </c>
    </row>
    <row r="1102" spans="1:3" x14ac:dyDescent="0.3">
      <c r="A1102" s="5">
        <v>28</v>
      </c>
      <c r="B1102" s="5" t="s">
        <v>43</v>
      </c>
      <c r="C1102" s="5">
        <f t="shared" si="17"/>
        <v>0</v>
      </c>
    </row>
    <row r="1103" spans="1:3" x14ac:dyDescent="0.3">
      <c r="A1103" s="5">
        <v>5</v>
      </c>
      <c r="B1103" s="5" t="s">
        <v>43</v>
      </c>
      <c r="C1103" s="5">
        <f t="shared" si="17"/>
        <v>0</v>
      </c>
    </row>
    <row r="1104" spans="1:3" x14ac:dyDescent="0.3">
      <c r="A1104" s="5">
        <v>2</v>
      </c>
      <c r="B1104" s="5" t="s">
        <v>43</v>
      </c>
      <c r="C1104" s="5">
        <f t="shared" si="17"/>
        <v>0</v>
      </c>
    </row>
    <row r="1105" spans="1:3" x14ac:dyDescent="0.3">
      <c r="A1105" s="5">
        <v>16</v>
      </c>
      <c r="B1105" s="5" t="s">
        <v>43</v>
      </c>
      <c r="C1105" s="5">
        <f t="shared" si="17"/>
        <v>0</v>
      </c>
    </row>
    <row r="1106" spans="1:3" x14ac:dyDescent="0.3">
      <c r="A1106" s="5">
        <v>9</v>
      </c>
      <c r="B1106" s="5" t="s">
        <v>43</v>
      </c>
      <c r="C1106" s="5">
        <f t="shared" si="17"/>
        <v>0</v>
      </c>
    </row>
    <row r="1107" spans="1:3" x14ac:dyDescent="0.3">
      <c r="A1107" s="5">
        <v>8</v>
      </c>
      <c r="B1107" s="5" t="s">
        <v>43</v>
      </c>
      <c r="C1107" s="5">
        <f t="shared" si="17"/>
        <v>0</v>
      </c>
    </row>
    <row r="1108" spans="1:3" x14ac:dyDescent="0.3">
      <c r="A1108" s="5">
        <v>1</v>
      </c>
      <c r="B1108" s="5" t="s">
        <v>35</v>
      </c>
      <c r="C1108" s="5">
        <f t="shared" si="17"/>
        <v>1</v>
      </c>
    </row>
    <row r="1109" spans="1:3" x14ac:dyDescent="0.3">
      <c r="A1109" s="5">
        <v>10</v>
      </c>
      <c r="B1109" s="5" t="s">
        <v>43</v>
      </c>
      <c r="C1109" s="5">
        <f t="shared" si="17"/>
        <v>0</v>
      </c>
    </row>
    <row r="1110" spans="1:3" x14ac:dyDescent="0.3">
      <c r="A1110" s="5">
        <v>1</v>
      </c>
      <c r="B1110" s="5" t="s">
        <v>43</v>
      </c>
      <c r="C1110" s="5">
        <f t="shared" si="17"/>
        <v>0</v>
      </c>
    </row>
    <row r="1111" spans="1:3" x14ac:dyDescent="0.3">
      <c r="A1111" s="5">
        <v>29</v>
      </c>
      <c r="B1111" s="5" t="s">
        <v>43</v>
      </c>
      <c r="C1111" s="5">
        <f t="shared" si="17"/>
        <v>0</v>
      </c>
    </row>
    <row r="1112" spans="1:3" x14ac:dyDescent="0.3">
      <c r="A1112" s="5">
        <v>2</v>
      </c>
      <c r="B1112" s="5" t="s">
        <v>35</v>
      </c>
      <c r="C1112" s="5">
        <f t="shared" si="17"/>
        <v>1</v>
      </c>
    </row>
    <row r="1113" spans="1:3" x14ac:dyDescent="0.3">
      <c r="A1113" s="5">
        <v>2</v>
      </c>
      <c r="B1113" s="5" t="s">
        <v>35</v>
      </c>
      <c r="C1113" s="5">
        <f t="shared" si="17"/>
        <v>1</v>
      </c>
    </row>
    <row r="1114" spans="1:3" x14ac:dyDescent="0.3">
      <c r="A1114" s="5">
        <v>2</v>
      </c>
      <c r="B1114" s="5" t="s">
        <v>35</v>
      </c>
      <c r="C1114" s="5">
        <f t="shared" si="17"/>
        <v>1</v>
      </c>
    </row>
    <row r="1115" spans="1:3" x14ac:dyDescent="0.3">
      <c r="A1115" s="5">
        <v>1</v>
      </c>
      <c r="B1115" s="5" t="s">
        <v>43</v>
      </c>
      <c r="C1115" s="5">
        <f t="shared" si="17"/>
        <v>0</v>
      </c>
    </row>
    <row r="1116" spans="1:3" x14ac:dyDescent="0.3">
      <c r="A1116" s="5">
        <v>15</v>
      </c>
      <c r="B1116" s="5" t="s">
        <v>43</v>
      </c>
      <c r="C1116" s="5">
        <f t="shared" si="17"/>
        <v>0</v>
      </c>
    </row>
    <row r="1117" spans="1:3" x14ac:dyDescent="0.3">
      <c r="A1117" s="5">
        <v>7</v>
      </c>
      <c r="B1117" s="5" t="s">
        <v>43</v>
      </c>
      <c r="C1117" s="5">
        <f t="shared" si="17"/>
        <v>0</v>
      </c>
    </row>
    <row r="1118" spans="1:3" x14ac:dyDescent="0.3">
      <c r="A1118" s="5">
        <v>26</v>
      </c>
      <c r="B1118" s="5" t="s">
        <v>43</v>
      </c>
      <c r="C1118" s="5">
        <f t="shared" si="17"/>
        <v>0</v>
      </c>
    </row>
    <row r="1119" spans="1:3" x14ac:dyDescent="0.3">
      <c r="A1119" s="5">
        <v>1</v>
      </c>
      <c r="B1119" s="5" t="s">
        <v>43</v>
      </c>
      <c r="C1119" s="5">
        <f t="shared" si="17"/>
        <v>0</v>
      </c>
    </row>
    <row r="1120" spans="1:3" x14ac:dyDescent="0.3">
      <c r="A1120" s="5">
        <v>3</v>
      </c>
      <c r="B1120" s="5" t="s">
        <v>43</v>
      </c>
      <c r="C1120" s="5">
        <f t="shared" si="17"/>
        <v>0</v>
      </c>
    </row>
    <row r="1121" spans="1:3" x14ac:dyDescent="0.3">
      <c r="A1121" s="5">
        <v>14</v>
      </c>
      <c r="B1121" s="5" t="s">
        <v>43</v>
      </c>
      <c r="C1121" s="5">
        <f t="shared" si="17"/>
        <v>0</v>
      </c>
    </row>
    <row r="1122" spans="1:3" x14ac:dyDescent="0.3">
      <c r="A1122" s="5">
        <v>16</v>
      </c>
      <c r="B1122" s="5" t="s">
        <v>43</v>
      </c>
      <c r="C1122" s="5">
        <f t="shared" si="17"/>
        <v>0</v>
      </c>
    </row>
    <row r="1123" spans="1:3" x14ac:dyDescent="0.3">
      <c r="A1123" s="5">
        <v>1</v>
      </c>
      <c r="B1123" s="5" t="s">
        <v>43</v>
      </c>
      <c r="C1123" s="5">
        <f t="shared" si="17"/>
        <v>0</v>
      </c>
    </row>
    <row r="1124" spans="1:3" x14ac:dyDescent="0.3">
      <c r="A1124" s="5">
        <v>3</v>
      </c>
      <c r="B1124" s="5" t="s">
        <v>43</v>
      </c>
      <c r="C1124" s="5">
        <f t="shared" si="17"/>
        <v>0</v>
      </c>
    </row>
    <row r="1125" spans="1:3" x14ac:dyDescent="0.3">
      <c r="A1125" s="5">
        <v>10</v>
      </c>
      <c r="B1125" s="5" t="s">
        <v>43</v>
      </c>
      <c r="C1125" s="5">
        <f t="shared" si="17"/>
        <v>0</v>
      </c>
    </row>
    <row r="1126" spans="1:3" x14ac:dyDescent="0.3">
      <c r="A1126" s="5">
        <v>6</v>
      </c>
      <c r="B1126" s="5" t="s">
        <v>43</v>
      </c>
      <c r="C1126" s="5">
        <f t="shared" si="17"/>
        <v>0</v>
      </c>
    </row>
    <row r="1127" spans="1:3" x14ac:dyDescent="0.3">
      <c r="A1127" s="5">
        <v>2</v>
      </c>
      <c r="B1127" s="5" t="s">
        <v>43</v>
      </c>
      <c r="C1127" s="5">
        <f t="shared" si="17"/>
        <v>0</v>
      </c>
    </row>
    <row r="1128" spans="1:3" x14ac:dyDescent="0.3">
      <c r="A1128" s="5">
        <v>9</v>
      </c>
      <c r="B1128" s="5" t="s">
        <v>43</v>
      </c>
      <c r="C1128" s="5">
        <f t="shared" si="17"/>
        <v>0</v>
      </c>
    </row>
    <row r="1129" spans="1:3" x14ac:dyDescent="0.3">
      <c r="A1129" s="5">
        <v>10</v>
      </c>
      <c r="B1129" s="5" t="s">
        <v>43</v>
      </c>
      <c r="C1129" s="5">
        <f t="shared" si="17"/>
        <v>0</v>
      </c>
    </row>
    <row r="1130" spans="1:3" x14ac:dyDescent="0.3">
      <c r="A1130" s="5">
        <v>6</v>
      </c>
      <c r="B1130" s="5" t="s">
        <v>43</v>
      </c>
      <c r="C1130" s="5">
        <f t="shared" si="17"/>
        <v>0</v>
      </c>
    </row>
    <row r="1131" spans="1:3" x14ac:dyDescent="0.3">
      <c r="A1131" s="5">
        <v>9</v>
      </c>
      <c r="B1131" s="5" t="s">
        <v>43</v>
      </c>
      <c r="C1131" s="5">
        <f t="shared" si="17"/>
        <v>0</v>
      </c>
    </row>
    <row r="1132" spans="1:3" x14ac:dyDescent="0.3">
      <c r="A1132" s="5">
        <v>28</v>
      </c>
      <c r="B1132" s="5" t="s">
        <v>43</v>
      </c>
      <c r="C1132" s="5">
        <f t="shared" si="17"/>
        <v>0</v>
      </c>
    </row>
    <row r="1133" spans="1:3" x14ac:dyDescent="0.3">
      <c r="A1133" s="5">
        <v>10</v>
      </c>
      <c r="B1133" s="5" t="s">
        <v>43</v>
      </c>
      <c r="C1133" s="5">
        <f t="shared" si="17"/>
        <v>0</v>
      </c>
    </row>
    <row r="1134" spans="1:3" x14ac:dyDescent="0.3">
      <c r="A1134" s="5">
        <v>14</v>
      </c>
      <c r="B1134" s="5" t="s">
        <v>43</v>
      </c>
      <c r="C1134" s="5">
        <f t="shared" si="17"/>
        <v>0</v>
      </c>
    </row>
    <row r="1135" spans="1:3" x14ac:dyDescent="0.3">
      <c r="A1135" s="5">
        <v>27</v>
      </c>
      <c r="B1135" s="5" t="s">
        <v>43</v>
      </c>
      <c r="C1135" s="5">
        <f t="shared" si="17"/>
        <v>0</v>
      </c>
    </row>
    <row r="1136" spans="1:3" x14ac:dyDescent="0.3">
      <c r="A1136" s="5">
        <v>7</v>
      </c>
      <c r="B1136" s="5" t="s">
        <v>43</v>
      </c>
      <c r="C1136" s="5">
        <f t="shared" si="17"/>
        <v>0</v>
      </c>
    </row>
    <row r="1137" spans="1:3" x14ac:dyDescent="0.3">
      <c r="A1137" s="5">
        <v>1</v>
      </c>
      <c r="B1137" s="5" t="s">
        <v>43</v>
      </c>
      <c r="C1137" s="5">
        <f t="shared" si="17"/>
        <v>0</v>
      </c>
    </row>
    <row r="1138" spans="1:3" x14ac:dyDescent="0.3">
      <c r="A1138" s="5">
        <v>24</v>
      </c>
      <c r="B1138" s="5" t="s">
        <v>35</v>
      </c>
      <c r="C1138" s="5">
        <f t="shared" si="17"/>
        <v>1</v>
      </c>
    </row>
    <row r="1139" spans="1:3" x14ac:dyDescent="0.3">
      <c r="A1139" s="5">
        <v>26</v>
      </c>
      <c r="B1139" s="5" t="s">
        <v>43</v>
      </c>
      <c r="C1139" s="5">
        <f t="shared" si="17"/>
        <v>0</v>
      </c>
    </row>
    <row r="1140" spans="1:3" x14ac:dyDescent="0.3">
      <c r="A1140" s="5">
        <v>20</v>
      </c>
      <c r="B1140" s="5" t="s">
        <v>43</v>
      </c>
      <c r="C1140" s="5">
        <f t="shared" si="17"/>
        <v>0</v>
      </c>
    </row>
    <row r="1141" spans="1:3" x14ac:dyDescent="0.3">
      <c r="A1141" s="5">
        <v>5</v>
      </c>
      <c r="B1141" s="5" t="s">
        <v>43</v>
      </c>
      <c r="C1141" s="5">
        <f t="shared" si="17"/>
        <v>0</v>
      </c>
    </row>
    <row r="1142" spans="1:3" x14ac:dyDescent="0.3">
      <c r="A1142" s="5">
        <v>7</v>
      </c>
      <c r="B1142" s="5" t="s">
        <v>43</v>
      </c>
      <c r="C1142" s="5">
        <f t="shared" si="17"/>
        <v>0</v>
      </c>
    </row>
    <row r="1143" spans="1:3" x14ac:dyDescent="0.3">
      <c r="A1143" s="5">
        <v>7</v>
      </c>
      <c r="B1143" s="5" t="s">
        <v>43</v>
      </c>
      <c r="C1143" s="5">
        <f t="shared" si="17"/>
        <v>0</v>
      </c>
    </row>
    <row r="1144" spans="1:3" x14ac:dyDescent="0.3">
      <c r="A1144" s="5">
        <v>5</v>
      </c>
      <c r="B1144" s="5" t="s">
        <v>43</v>
      </c>
      <c r="C1144" s="5">
        <f t="shared" si="17"/>
        <v>0</v>
      </c>
    </row>
    <row r="1145" spans="1:3" x14ac:dyDescent="0.3">
      <c r="A1145" s="5">
        <v>26</v>
      </c>
      <c r="B1145" s="5" t="s">
        <v>43</v>
      </c>
      <c r="C1145" s="5">
        <f t="shared" si="17"/>
        <v>0</v>
      </c>
    </row>
    <row r="1146" spans="1:3" x14ac:dyDescent="0.3">
      <c r="A1146" s="5">
        <v>2</v>
      </c>
      <c r="B1146" s="5" t="s">
        <v>43</v>
      </c>
      <c r="C1146" s="5">
        <f t="shared" si="17"/>
        <v>0</v>
      </c>
    </row>
    <row r="1147" spans="1:3" x14ac:dyDescent="0.3">
      <c r="A1147" s="5">
        <v>12</v>
      </c>
      <c r="B1147" s="5" t="s">
        <v>43</v>
      </c>
      <c r="C1147" s="5">
        <f t="shared" si="17"/>
        <v>0</v>
      </c>
    </row>
    <row r="1148" spans="1:3" x14ac:dyDescent="0.3">
      <c r="A1148" s="5">
        <v>10</v>
      </c>
      <c r="B1148" s="5" t="s">
        <v>43</v>
      </c>
      <c r="C1148" s="5">
        <f t="shared" si="17"/>
        <v>0</v>
      </c>
    </row>
    <row r="1149" spans="1:3" x14ac:dyDescent="0.3">
      <c r="A1149" s="5">
        <v>25</v>
      </c>
      <c r="B1149" s="5" t="s">
        <v>43</v>
      </c>
      <c r="C1149" s="5">
        <f t="shared" si="17"/>
        <v>0</v>
      </c>
    </row>
    <row r="1150" spans="1:3" x14ac:dyDescent="0.3">
      <c r="A1150" s="5">
        <v>10</v>
      </c>
      <c r="B1150" s="5" t="s">
        <v>43</v>
      </c>
      <c r="C1150" s="5">
        <f t="shared" si="17"/>
        <v>0</v>
      </c>
    </row>
    <row r="1151" spans="1:3" x14ac:dyDescent="0.3">
      <c r="A1151" s="5">
        <v>19</v>
      </c>
      <c r="B1151" s="5" t="s">
        <v>43</v>
      </c>
      <c r="C1151" s="5">
        <f t="shared" si="17"/>
        <v>0</v>
      </c>
    </row>
    <row r="1152" spans="1:3" x14ac:dyDescent="0.3">
      <c r="A1152" s="5">
        <v>18</v>
      </c>
      <c r="B1152" s="5" t="s">
        <v>43</v>
      </c>
      <c r="C1152" s="5">
        <f t="shared" si="17"/>
        <v>0</v>
      </c>
    </row>
    <row r="1153" spans="1:3" x14ac:dyDescent="0.3">
      <c r="A1153" s="5">
        <v>27</v>
      </c>
      <c r="B1153" s="5" t="s">
        <v>43</v>
      </c>
      <c r="C1153" s="5">
        <f t="shared" si="17"/>
        <v>0</v>
      </c>
    </row>
    <row r="1154" spans="1:3" x14ac:dyDescent="0.3">
      <c r="A1154" s="5">
        <v>5</v>
      </c>
      <c r="B1154" s="5" t="s">
        <v>43</v>
      </c>
      <c r="C1154" s="5">
        <f t="shared" si="17"/>
        <v>0</v>
      </c>
    </row>
    <row r="1155" spans="1:3" x14ac:dyDescent="0.3">
      <c r="A1155" s="5">
        <v>3</v>
      </c>
      <c r="B1155" s="5" t="s">
        <v>35</v>
      </c>
      <c r="C1155" s="5">
        <f t="shared" ref="C1155:C1218" si="18">IF(B1155="Yes",1,0)</f>
        <v>1</v>
      </c>
    </row>
    <row r="1156" spans="1:3" x14ac:dyDescent="0.3">
      <c r="A1156" s="5">
        <v>26</v>
      </c>
      <c r="B1156" s="5" t="s">
        <v>43</v>
      </c>
      <c r="C1156" s="5">
        <f t="shared" si="18"/>
        <v>0</v>
      </c>
    </row>
    <row r="1157" spans="1:3" x14ac:dyDescent="0.3">
      <c r="A1157" s="5">
        <v>3</v>
      </c>
      <c r="B1157" s="5" t="s">
        <v>43</v>
      </c>
      <c r="C1157" s="5">
        <f t="shared" si="18"/>
        <v>0</v>
      </c>
    </row>
    <row r="1158" spans="1:3" x14ac:dyDescent="0.3">
      <c r="A1158" s="5">
        <v>15</v>
      </c>
      <c r="B1158" s="5" t="s">
        <v>43</v>
      </c>
      <c r="C1158" s="5">
        <f t="shared" si="18"/>
        <v>0</v>
      </c>
    </row>
    <row r="1159" spans="1:3" x14ac:dyDescent="0.3">
      <c r="A1159" s="5">
        <v>8</v>
      </c>
      <c r="B1159" s="5" t="s">
        <v>43</v>
      </c>
      <c r="C1159" s="5">
        <f t="shared" si="18"/>
        <v>0</v>
      </c>
    </row>
    <row r="1160" spans="1:3" x14ac:dyDescent="0.3">
      <c r="A1160" s="5">
        <v>19</v>
      </c>
      <c r="B1160" s="5" t="s">
        <v>43</v>
      </c>
      <c r="C1160" s="5">
        <f t="shared" si="18"/>
        <v>0</v>
      </c>
    </row>
    <row r="1161" spans="1:3" x14ac:dyDescent="0.3">
      <c r="A1161" s="5">
        <v>4</v>
      </c>
      <c r="B1161" s="5" t="s">
        <v>43</v>
      </c>
      <c r="C1161" s="5">
        <f t="shared" si="18"/>
        <v>0</v>
      </c>
    </row>
    <row r="1162" spans="1:3" x14ac:dyDescent="0.3">
      <c r="A1162" s="5">
        <v>2</v>
      </c>
      <c r="B1162" s="5" t="s">
        <v>43</v>
      </c>
      <c r="C1162" s="5">
        <f t="shared" si="18"/>
        <v>0</v>
      </c>
    </row>
    <row r="1163" spans="1:3" x14ac:dyDescent="0.3">
      <c r="A1163" s="5">
        <v>2</v>
      </c>
      <c r="B1163" s="5" t="s">
        <v>43</v>
      </c>
      <c r="C1163" s="5">
        <f t="shared" si="18"/>
        <v>0</v>
      </c>
    </row>
    <row r="1164" spans="1:3" x14ac:dyDescent="0.3">
      <c r="A1164" s="5">
        <v>10</v>
      </c>
      <c r="B1164" s="5" t="s">
        <v>35</v>
      </c>
      <c r="C1164" s="5">
        <f t="shared" si="18"/>
        <v>1</v>
      </c>
    </row>
    <row r="1165" spans="1:3" x14ac:dyDescent="0.3">
      <c r="A1165" s="5">
        <v>10</v>
      </c>
      <c r="B1165" s="5" t="s">
        <v>43</v>
      </c>
      <c r="C1165" s="5">
        <f t="shared" si="18"/>
        <v>0</v>
      </c>
    </row>
    <row r="1166" spans="1:3" x14ac:dyDescent="0.3">
      <c r="A1166" s="5">
        <v>16</v>
      </c>
      <c r="B1166" s="5" t="s">
        <v>43</v>
      </c>
      <c r="C1166" s="5">
        <f t="shared" si="18"/>
        <v>0</v>
      </c>
    </row>
    <row r="1167" spans="1:3" x14ac:dyDescent="0.3">
      <c r="A1167" s="5">
        <v>1</v>
      </c>
      <c r="B1167" s="5" t="s">
        <v>43</v>
      </c>
      <c r="C1167" s="5">
        <f t="shared" si="18"/>
        <v>0</v>
      </c>
    </row>
    <row r="1168" spans="1:3" x14ac:dyDescent="0.3">
      <c r="A1168" s="5">
        <v>4</v>
      </c>
      <c r="B1168" s="5" t="s">
        <v>43</v>
      </c>
      <c r="C1168" s="5">
        <f t="shared" si="18"/>
        <v>0</v>
      </c>
    </row>
    <row r="1169" spans="1:3" x14ac:dyDescent="0.3">
      <c r="A1169" s="5">
        <v>15</v>
      </c>
      <c r="B1169" s="5" t="s">
        <v>35</v>
      </c>
      <c r="C1169" s="5">
        <f t="shared" si="18"/>
        <v>1</v>
      </c>
    </row>
    <row r="1170" spans="1:3" x14ac:dyDescent="0.3">
      <c r="A1170" s="5">
        <v>2</v>
      </c>
      <c r="B1170" s="5" t="s">
        <v>43</v>
      </c>
      <c r="C1170" s="5">
        <f t="shared" si="18"/>
        <v>0</v>
      </c>
    </row>
    <row r="1171" spans="1:3" x14ac:dyDescent="0.3">
      <c r="A1171" s="5">
        <v>8</v>
      </c>
      <c r="B1171" s="5" t="s">
        <v>43</v>
      </c>
      <c r="C1171" s="5">
        <f t="shared" si="18"/>
        <v>0</v>
      </c>
    </row>
    <row r="1172" spans="1:3" x14ac:dyDescent="0.3">
      <c r="A1172" s="5">
        <v>2</v>
      </c>
      <c r="B1172" s="5" t="s">
        <v>43</v>
      </c>
      <c r="C1172" s="5">
        <f t="shared" si="18"/>
        <v>0</v>
      </c>
    </row>
    <row r="1173" spans="1:3" x14ac:dyDescent="0.3">
      <c r="A1173" s="5">
        <v>7</v>
      </c>
      <c r="B1173" s="5" t="s">
        <v>35</v>
      </c>
      <c r="C1173" s="5">
        <f t="shared" si="18"/>
        <v>1</v>
      </c>
    </row>
    <row r="1174" spans="1:3" x14ac:dyDescent="0.3">
      <c r="A1174" s="5">
        <v>10</v>
      </c>
      <c r="B1174" s="5" t="s">
        <v>43</v>
      </c>
      <c r="C1174" s="5">
        <f t="shared" si="18"/>
        <v>0</v>
      </c>
    </row>
    <row r="1175" spans="1:3" x14ac:dyDescent="0.3">
      <c r="A1175" s="5">
        <v>5</v>
      </c>
      <c r="B1175" s="5" t="s">
        <v>43</v>
      </c>
      <c r="C1175" s="5">
        <f t="shared" si="18"/>
        <v>0</v>
      </c>
    </row>
    <row r="1176" spans="1:3" x14ac:dyDescent="0.3">
      <c r="A1176" s="5">
        <v>2</v>
      </c>
      <c r="B1176" s="5" t="s">
        <v>43</v>
      </c>
      <c r="C1176" s="5">
        <f t="shared" si="18"/>
        <v>0</v>
      </c>
    </row>
    <row r="1177" spans="1:3" x14ac:dyDescent="0.3">
      <c r="A1177" s="5">
        <v>12</v>
      </c>
      <c r="B1177" s="5" t="s">
        <v>43</v>
      </c>
      <c r="C1177" s="5">
        <f t="shared" si="18"/>
        <v>0</v>
      </c>
    </row>
    <row r="1178" spans="1:3" x14ac:dyDescent="0.3">
      <c r="A1178" s="5">
        <v>22</v>
      </c>
      <c r="B1178" s="5" t="s">
        <v>43</v>
      </c>
      <c r="C1178" s="5">
        <f t="shared" si="18"/>
        <v>0</v>
      </c>
    </row>
    <row r="1179" spans="1:3" x14ac:dyDescent="0.3">
      <c r="A1179" s="5">
        <v>17</v>
      </c>
      <c r="B1179" s="5" t="s">
        <v>43</v>
      </c>
      <c r="C1179" s="5">
        <f t="shared" si="18"/>
        <v>0</v>
      </c>
    </row>
    <row r="1180" spans="1:3" x14ac:dyDescent="0.3">
      <c r="A1180" s="5">
        <v>2</v>
      </c>
      <c r="B1180" s="5" t="s">
        <v>43</v>
      </c>
      <c r="C1180" s="5">
        <f t="shared" si="18"/>
        <v>0</v>
      </c>
    </row>
    <row r="1181" spans="1:3" x14ac:dyDescent="0.3">
      <c r="A1181" s="5">
        <v>3</v>
      </c>
      <c r="B1181" s="5" t="s">
        <v>43</v>
      </c>
      <c r="C1181" s="5">
        <f t="shared" si="18"/>
        <v>0</v>
      </c>
    </row>
    <row r="1182" spans="1:3" x14ac:dyDescent="0.3">
      <c r="A1182" s="5">
        <v>7</v>
      </c>
      <c r="B1182" s="5" t="s">
        <v>43</v>
      </c>
      <c r="C1182" s="5">
        <f t="shared" si="18"/>
        <v>0</v>
      </c>
    </row>
    <row r="1183" spans="1:3" x14ac:dyDescent="0.3">
      <c r="A1183" s="5">
        <v>6</v>
      </c>
      <c r="B1183" s="5" t="s">
        <v>43</v>
      </c>
      <c r="C1183" s="5">
        <f t="shared" si="18"/>
        <v>0</v>
      </c>
    </row>
    <row r="1184" spans="1:3" x14ac:dyDescent="0.3">
      <c r="A1184" s="5">
        <v>1</v>
      </c>
      <c r="B1184" s="5" t="s">
        <v>43</v>
      </c>
      <c r="C1184" s="5">
        <f t="shared" si="18"/>
        <v>0</v>
      </c>
    </row>
    <row r="1185" spans="1:3" x14ac:dyDescent="0.3">
      <c r="A1185" s="5">
        <v>3</v>
      </c>
      <c r="B1185" s="5" t="s">
        <v>43</v>
      </c>
      <c r="C1185" s="5">
        <f t="shared" si="18"/>
        <v>0</v>
      </c>
    </row>
    <row r="1186" spans="1:3" x14ac:dyDescent="0.3">
      <c r="A1186" s="5">
        <v>22</v>
      </c>
      <c r="B1186" s="5" t="s">
        <v>43</v>
      </c>
      <c r="C1186" s="5">
        <f t="shared" si="18"/>
        <v>0</v>
      </c>
    </row>
    <row r="1187" spans="1:3" x14ac:dyDescent="0.3">
      <c r="A1187" s="5">
        <v>15</v>
      </c>
      <c r="B1187" s="5" t="s">
        <v>43</v>
      </c>
      <c r="C1187" s="5">
        <f t="shared" si="18"/>
        <v>0</v>
      </c>
    </row>
    <row r="1188" spans="1:3" x14ac:dyDescent="0.3">
      <c r="A1188" s="5">
        <v>12</v>
      </c>
      <c r="B1188" s="5" t="s">
        <v>35</v>
      </c>
      <c r="C1188" s="5">
        <f t="shared" si="18"/>
        <v>1</v>
      </c>
    </row>
    <row r="1189" spans="1:3" x14ac:dyDescent="0.3">
      <c r="A1189" s="5">
        <v>1</v>
      </c>
      <c r="B1189" s="5" t="s">
        <v>43</v>
      </c>
      <c r="C1189" s="5">
        <f t="shared" si="18"/>
        <v>0</v>
      </c>
    </row>
    <row r="1190" spans="1:3" x14ac:dyDescent="0.3">
      <c r="A1190" s="5">
        <v>5</v>
      </c>
      <c r="B1190" s="5" t="s">
        <v>43</v>
      </c>
      <c r="C1190" s="5">
        <f t="shared" si="18"/>
        <v>0</v>
      </c>
    </row>
    <row r="1191" spans="1:3" x14ac:dyDescent="0.3">
      <c r="A1191" s="5">
        <v>2</v>
      </c>
      <c r="B1191" s="5" t="s">
        <v>43</v>
      </c>
      <c r="C1191" s="5">
        <f t="shared" si="18"/>
        <v>0</v>
      </c>
    </row>
    <row r="1192" spans="1:3" x14ac:dyDescent="0.3">
      <c r="A1192" s="5">
        <v>2</v>
      </c>
      <c r="B1192" s="5" t="s">
        <v>43</v>
      </c>
      <c r="C1192" s="5">
        <f t="shared" si="18"/>
        <v>0</v>
      </c>
    </row>
    <row r="1193" spans="1:3" x14ac:dyDescent="0.3">
      <c r="A1193" s="5">
        <v>5</v>
      </c>
      <c r="B1193" s="5" t="s">
        <v>43</v>
      </c>
      <c r="C1193" s="5">
        <f t="shared" si="18"/>
        <v>0</v>
      </c>
    </row>
    <row r="1194" spans="1:3" x14ac:dyDescent="0.3">
      <c r="A1194" s="5">
        <v>16</v>
      </c>
      <c r="B1194" s="5" t="s">
        <v>43</v>
      </c>
      <c r="C1194" s="5">
        <f t="shared" si="18"/>
        <v>0</v>
      </c>
    </row>
    <row r="1195" spans="1:3" x14ac:dyDescent="0.3">
      <c r="A1195" s="5">
        <v>2</v>
      </c>
      <c r="B1195" s="5" t="s">
        <v>43</v>
      </c>
      <c r="C1195" s="5">
        <f t="shared" si="18"/>
        <v>0</v>
      </c>
    </row>
    <row r="1196" spans="1:3" x14ac:dyDescent="0.3">
      <c r="A1196" s="5">
        <v>2</v>
      </c>
      <c r="B1196" s="5" t="s">
        <v>43</v>
      </c>
      <c r="C1196" s="5">
        <f t="shared" si="18"/>
        <v>0</v>
      </c>
    </row>
    <row r="1197" spans="1:3" x14ac:dyDescent="0.3">
      <c r="A1197" s="5">
        <v>1</v>
      </c>
      <c r="B1197" s="5" t="s">
        <v>43</v>
      </c>
      <c r="C1197" s="5">
        <f t="shared" si="18"/>
        <v>0</v>
      </c>
    </row>
    <row r="1198" spans="1:3" x14ac:dyDescent="0.3">
      <c r="A1198" s="5">
        <v>23</v>
      </c>
      <c r="B1198" s="5" t="s">
        <v>43</v>
      </c>
      <c r="C1198" s="5">
        <f t="shared" si="18"/>
        <v>0</v>
      </c>
    </row>
    <row r="1199" spans="1:3" x14ac:dyDescent="0.3">
      <c r="A1199" s="5">
        <v>9</v>
      </c>
      <c r="B1199" s="5" t="s">
        <v>43</v>
      </c>
      <c r="C1199" s="5">
        <f t="shared" si="18"/>
        <v>0</v>
      </c>
    </row>
    <row r="1200" spans="1:3" x14ac:dyDescent="0.3">
      <c r="A1200" s="5">
        <v>16</v>
      </c>
      <c r="B1200" s="5" t="s">
        <v>43</v>
      </c>
      <c r="C1200" s="5">
        <f t="shared" si="18"/>
        <v>0</v>
      </c>
    </row>
    <row r="1201" spans="1:3" x14ac:dyDescent="0.3">
      <c r="A1201" s="5">
        <v>26</v>
      </c>
      <c r="B1201" s="5" t="s">
        <v>43</v>
      </c>
      <c r="C1201" s="5">
        <f t="shared" si="18"/>
        <v>0</v>
      </c>
    </row>
    <row r="1202" spans="1:3" x14ac:dyDescent="0.3">
      <c r="A1202" s="5">
        <v>1</v>
      </c>
      <c r="B1202" s="5" t="s">
        <v>43</v>
      </c>
      <c r="C1202" s="5">
        <f t="shared" si="18"/>
        <v>0</v>
      </c>
    </row>
    <row r="1203" spans="1:3" x14ac:dyDescent="0.3">
      <c r="A1203" s="5">
        <v>8</v>
      </c>
      <c r="B1203" s="5" t="s">
        <v>35</v>
      </c>
      <c r="C1203" s="5">
        <f t="shared" si="18"/>
        <v>1</v>
      </c>
    </row>
    <row r="1204" spans="1:3" x14ac:dyDescent="0.3">
      <c r="A1204" s="5">
        <v>4</v>
      </c>
      <c r="B1204" s="5" t="s">
        <v>43</v>
      </c>
      <c r="C1204" s="5">
        <f t="shared" si="18"/>
        <v>0</v>
      </c>
    </row>
    <row r="1205" spans="1:3" x14ac:dyDescent="0.3">
      <c r="A1205" s="5">
        <v>24</v>
      </c>
      <c r="B1205" s="5" t="s">
        <v>43</v>
      </c>
      <c r="C1205" s="5">
        <f t="shared" si="18"/>
        <v>0</v>
      </c>
    </row>
    <row r="1206" spans="1:3" x14ac:dyDescent="0.3">
      <c r="A1206" s="5">
        <v>7</v>
      </c>
      <c r="B1206" s="5" t="s">
        <v>35</v>
      </c>
      <c r="C1206" s="5">
        <f t="shared" si="18"/>
        <v>1</v>
      </c>
    </row>
    <row r="1207" spans="1:3" x14ac:dyDescent="0.3">
      <c r="A1207" s="5">
        <v>2</v>
      </c>
      <c r="B1207" s="5" t="s">
        <v>35</v>
      </c>
      <c r="C1207" s="5">
        <f t="shared" si="18"/>
        <v>1</v>
      </c>
    </row>
    <row r="1208" spans="1:3" x14ac:dyDescent="0.3">
      <c r="A1208" s="5">
        <v>7</v>
      </c>
      <c r="B1208" s="5" t="s">
        <v>43</v>
      </c>
      <c r="C1208" s="5">
        <f t="shared" si="18"/>
        <v>0</v>
      </c>
    </row>
    <row r="1209" spans="1:3" x14ac:dyDescent="0.3">
      <c r="A1209" s="5">
        <v>22</v>
      </c>
      <c r="B1209" s="5" t="s">
        <v>43</v>
      </c>
      <c r="C1209" s="5">
        <f t="shared" si="18"/>
        <v>0</v>
      </c>
    </row>
    <row r="1210" spans="1:3" x14ac:dyDescent="0.3">
      <c r="A1210" s="5">
        <v>5</v>
      </c>
      <c r="B1210" s="5" t="s">
        <v>43</v>
      </c>
      <c r="C1210" s="5">
        <f t="shared" si="18"/>
        <v>0</v>
      </c>
    </row>
    <row r="1211" spans="1:3" x14ac:dyDescent="0.3">
      <c r="A1211" s="5">
        <v>1</v>
      </c>
      <c r="B1211" s="5" t="s">
        <v>43</v>
      </c>
      <c r="C1211" s="5">
        <f t="shared" si="18"/>
        <v>0</v>
      </c>
    </row>
    <row r="1212" spans="1:3" x14ac:dyDescent="0.3">
      <c r="A1212" s="5">
        <v>21</v>
      </c>
      <c r="B1212" s="5" t="s">
        <v>43</v>
      </c>
      <c r="C1212" s="5">
        <f t="shared" si="18"/>
        <v>0</v>
      </c>
    </row>
    <row r="1213" spans="1:3" x14ac:dyDescent="0.3">
      <c r="A1213" s="5">
        <v>1</v>
      </c>
      <c r="B1213" s="5" t="s">
        <v>43</v>
      </c>
      <c r="C1213" s="5">
        <f t="shared" si="18"/>
        <v>0</v>
      </c>
    </row>
    <row r="1214" spans="1:3" x14ac:dyDescent="0.3">
      <c r="A1214" s="5">
        <v>19</v>
      </c>
      <c r="B1214" s="5" t="s">
        <v>43</v>
      </c>
      <c r="C1214" s="5">
        <f t="shared" si="18"/>
        <v>0</v>
      </c>
    </row>
    <row r="1215" spans="1:3" x14ac:dyDescent="0.3">
      <c r="A1215" s="5">
        <v>7</v>
      </c>
      <c r="B1215" s="5" t="s">
        <v>35</v>
      </c>
      <c r="C1215" s="5">
        <f t="shared" si="18"/>
        <v>1</v>
      </c>
    </row>
    <row r="1216" spans="1:3" x14ac:dyDescent="0.3">
      <c r="A1216" s="5">
        <v>2</v>
      </c>
      <c r="B1216" s="5" t="s">
        <v>43</v>
      </c>
      <c r="C1216" s="5">
        <f t="shared" si="18"/>
        <v>0</v>
      </c>
    </row>
    <row r="1217" spans="1:3" x14ac:dyDescent="0.3">
      <c r="A1217" s="5">
        <v>2</v>
      </c>
      <c r="B1217" s="5" t="s">
        <v>43</v>
      </c>
      <c r="C1217" s="5">
        <f t="shared" si="18"/>
        <v>0</v>
      </c>
    </row>
    <row r="1218" spans="1:3" x14ac:dyDescent="0.3">
      <c r="A1218" s="5">
        <v>2</v>
      </c>
      <c r="B1218" s="5" t="s">
        <v>43</v>
      </c>
      <c r="C1218" s="5">
        <f t="shared" si="18"/>
        <v>0</v>
      </c>
    </row>
    <row r="1219" spans="1:3" x14ac:dyDescent="0.3">
      <c r="A1219" s="5">
        <v>9</v>
      </c>
      <c r="B1219" s="5" t="s">
        <v>43</v>
      </c>
      <c r="C1219" s="5">
        <f t="shared" ref="C1219:C1282" si="19">IF(B1219="Yes",1,0)</f>
        <v>0</v>
      </c>
    </row>
    <row r="1220" spans="1:3" x14ac:dyDescent="0.3">
      <c r="A1220" s="5">
        <v>6</v>
      </c>
      <c r="B1220" s="5" t="s">
        <v>43</v>
      </c>
      <c r="C1220" s="5">
        <f t="shared" si="19"/>
        <v>0</v>
      </c>
    </row>
    <row r="1221" spans="1:3" x14ac:dyDescent="0.3">
      <c r="A1221" s="5">
        <v>9</v>
      </c>
      <c r="B1221" s="5" t="s">
        <v>43</v>
      </c>
      <c r="C1221" s="5">
        <f t="shared" si="19"/>
        <v>0</v>
      </c>
    </row>
    <row r="1222" spans="1:3" x14ac:dyDescent="0.3">
      <c r="A1222" s="5">
        <v>2</v>
      </c>
      <c r="B1222" s="5" t="s">
        <v>43</v>
      </c>
      <c r="C1222" s="5">
        <f t="shared" si="19"/>
        <v>0</v>
      </c>
    </row>
    <row r="1223" spans="1:3" x14ac:dyDescent="0.3">
      <c r="A1223" s="5">
        <v>1</v>
      </c>
      <c r="B1223" s="5" t="s">
        <v>43</v>
      </c>
      <c r="C1223" s="5">
        <f t="shared" si="19"/>
        <v>0</v>
      </c>
    </row>
    <row r="1224" spans="1:3" x14ac:dyDescent="0.3">
      <c r="A1224" s="5">
        <v>22</v>
      </c>
      <c r="B1224" s="5" t="s">
        <v>35</v>
      </c>
      <c r="C1224" s="5">
        <f t="shared" si="19"/>
        <v>1</v>
      </c>
    </row>
    <row r="1225" spans="1:3" x14ac:dyDescent="0.3">
      <c r="A1225" s="5">
        <v>9</v>
      </c>
      <c r="B1225" s="5" t="s">
        <v>35</v>
      </c>
      <c r="C1225" s="5">
        <f t="shared" si="19"/>
        <v>1</v>
      </c>
    </row>
    <row r="1226" spans="1:3" x14ac:dyDescent="0.3">
      <c r="A1226" s="5">
        <v>17</v>
      </c>
      <c r="B1226" s="5" t="s">
        <v>43</v>
      </c>
      <c r="C1226" s="5">
        <f t="shared" si="19"/>
        <v>0</v>
      </c>
    </row>
    <row r="1227" spans="1:3" x14ac:dyDescent="0.3">
      <c r="A1227" s="5">
        <v>28</v>
      </c>
      <c r="B1227" s="5" t="s">
        <v>43</v>
      </c>
      <c r="C1227" s="5">
        <f t="shared" si="19"/>
        <v>0</v>
      </c>
    </row>
    <row r="1228" spans="1:3" x14ac:dyDescent="0.3">
      <c r="A1228" s="5">
        <v>10</v>
      </c>
      <c r="B1228" s="5" t="s">
        <v>43</v>
      </c>
      <c r="C1228" s="5">
        <f t="shared" si="19"/>
        <v>0</v>
      </c>
    </row>
    <row r="1229" spans="1:3" x14ac:dyDescent="0.3">
      <c r="A1229" s="5">
        <v>2</v>
      </c>
      <c r="B1229" s="5" t="s">
        <v>43</v>
      </c>
      <c r="C1229" s="5">
        <f t="shared" si="19"/>
        <v>0</v>
      </c>
    </row>
    <row r="1230" spans="1:3" x14ac:dyDescent="0.3">
      <c r="A1230" s="5">
        <v>4</v>
      </c>
      <c r="B1230" s="5" t="s">
        <v>43</v>
      </c>
      <c r="C1230" s="5">
        <f t="shared" si="19"/>
        <v>0</v>
      </c>
    </row>
    <row r="1231" spans="1:3" x14ac:dyDescent="0.3">
      <c r="A1231" s="5">
        <v>8</v>
      </c>
      <c r="B1231" s="5" t="s">
        <v>43</v>
      </c>
      <c r="C1231" s="5">
        <f t="shared" si="19"/>
        <v>0</v>
      </c>
    </row>
    <row r="1232" spans="1:3" x14ac:dyDescent="0.3">
      <c r="A1232" s="5">
        <v>29</v>
      </c>
      <c r="B1232" s="5" t="s">
        <v>43</v>
      </c>
      <c r="C1232" s="5">
        <f t="shared" si="19"/>
        <v>0</v>
      </c>
    </row>
    <row r="1233" spans="1:3" x14ac:dyDescent="0.3">
      <c r="A1233" s="5">
        <v>13</v>
      </c>
      <c r="B1233" s="5" t="s">
        <v>43</v>
      </c>
      <c r="C1233" s="5">
        <f t="shared" si="19"/>
        <v>0</v>
      </c>
    </row>
    <row r="1234" spans="1:3" x14ac:dyDescent="0.3">
      <c r="A1234" s="5">
        <v>27</v>
      </c>
      <c r="B1234" s="5" t="s">
        <v>43</v>
      </c>
      <c r="C1234" s="5">
        <f t="shared" si="19"/>
        <v>0</v>
      </c>
    </row>
    <row r="1235" spans="1:3" x14ac:dyDescent="0.3">
      <c r="A1235" s="5">
        <v>16</v>
      </c>
      <c r="B1235" s="5" t="s">
        <v>43</v>
      </c>
      <c r="C1235" s="5">
        <f t="shared" si="19"/>
        <v>0</v>
      </c>
    </row>
    <row r="1236" spans="1:3" x14ac:dyDescent="0.3">
      <c r="A1236" s="5">
        <v>2</v>
      </c>
      <c r="B1236" s="5" t="s">
        <v>43</v>
      </c>
      <c r="C1236" s="5">
        <f t="shared" si="19"/>
        <v>0</v>
      </c>
    </row>
    <row r="1237" spans="1:3" x14ac:dyDescent="0.3">
      <c r="A1237" s="5">
        <v>2</v>
      </c>
      <c r="B1237" s="5" t="s">
        <v>43</v>
      </c>
      <c r="C1237" s="5">
        <f t="shared" si="19"/>
        <v>0</v>
      </c>
    </row>
    <row r="1238" spans="1:3" x14ac:dyDescent="0.3">
      <c r="A1238" s="5">
        <v>13</v>
      </c>
      <c r="B1238" s="5" t="s">
        <v>35</v>
      </c>
      <c r="C1238" s="5">
        <f t="shared" si="19"/>
        <v>1</v>
      </c>
    </row>
    <row r="1239" spans="1:3" x14ac:dyDescent="0.3">
      <c r="A1239" s="5">
        <v>1</v>
      </c>
      <c r="B1239" s="5" t="s">
        <v>35</v>
      </c>
      <c r="C1239" s="5">
        <f t="shared" si="19"/>
        <v>1</v>
      </c>
    </row>
    <row r="1240" spans="1:3" x14ac:dyDescent="0.3">
      <c r="A1240" s="5">
        <v>4</v>
      </c>
      <c r="B1240" s="5" t="s">
        <v>43</v>
      </c>
      <c r="C1240" s="5">
        <f t="shared" si="19"/>
        <v>0</v>
      </c>
    </row>
    <row r="1241" spans="1:3" x14ac:dyDescent="0.3">
      <c r="A1241" s="5">
        <v>24</v>
      </c>
      <c r="B1241" s="5" t="s">
        <v>43</v>
      </c>
      <c r="C1241" s="5">
        <f t="shared" si="19"/>
        <v>0</v>
      </c>
    </row>
    <row r="1242" spans="1:3" x14ac:dyDescent="0.3">
      <c r="A1242" s="5">
        <v>1</v>
      </c>
      <c r="B1242" s="5" t="s">
        <v>43</v>
      </c>
      <c r="C1242" s="5">
        <f t="shared" si="19"/>
        <v>0</v>
      </c>
    </row>
    <row r="1243" spans="1:3" x14ac:dyDescent="0.3">
      <c r="A1243" s="5">
        <v>19</v>
      </c>
      <c r="B1243" s="5" t="s">
        <v>43</v>
      </c>
      <c r="C1243" s="5">
        <f t="shared" si="19"/>
        <v>0</v>
      </c>
    </row>
    <row r="1244" spans="1:3" x14ac:dyDescent="0.3">
      <c r="A1244" s="5">
        <v>7</v>
      </c>
      <c r="B1244" s="5" t="s">
        <v>43</v>
      </c>
      <c r="C1244" s="5">
        <f t="shared" si="19"/>
        <v>0</v>
      </c>
    </row>
    <row r="1245" spans="1:3" x14ac:dyDescent="0.3">
      <c r="A1245" s="5">
        <v>4</v>
      </c>
      <c r="B1245" s="5" t="s">
        <v>43</v>
      </c>
      <c r="C1245" s="5">
        <f t="shared" si="19"/>
        <v>0</v>
      </c>
    </row>
    <row r="1246" spans="1:3" x14ac:dyDescent="0.3">
      <c r="A1246" s="5">
        <v>2</v>
      </c>
      <c r="B1246" s="5" t="s">
        <v>43</v>
      </c>
      <c r="C1246" s="5">
        <f t="shared" si="19"/>
        <v>0</v>
      </c>
    </row>
    <row r="1247" spans="1:3" x14ac:dyDescent="0.3">
      <c r="A1247" s="5">
        <v>10</v>
      </c>
      <c r="B1247" s="5" t="s">
        <v>43</v>
      </c>
      <c r="C1247" s="5">
        <f t="shared" si="19"/>
        <v>0</v>
      </c>
    </row>
    <row r="1248" spans="1:3" x14ac:dyDescent="0.3">
      <c r="A1248" s="5">
        <v>8</v>
      </c>
      <c r="B1248" s="5" t="s">
        <v>35</v>
      </c>
      <c r="C1248" s="5">
        <f t="shared" si="19"/>
        <v>1</v>
      </c>
    </row>
    <row r="1249" spans="1:3" x14ac:dyDescent="0.3">
      <c r="A1249" s="5">
        <v>5</v>
      </c>
      <c r="B1249" s="5" t="s">
        <v>43</v>
      </c>
      <c r="C1249" s="5">
        <f t="shared" si="19"/>
        <v>0</v>
      </c>
    </row>
    <row r="1250" spans="1:3" x14ac:dyDescent="0.3">
      <c r="A1250" s="5">
        <v>8</v>
      </c>
      <c r="B1250" s="5" t="s">
        <v>43</v>
      </c>
      <c r="C1250" s="5">
        <f t="shared" si="19"/>
        <v>0</v>
      </c>
    </row>
    <row r="1251" spans="1:3" x14ac:dyDescent="0.3">
      <c r="A1251" s="5">
        <v>9</v>
      </c>
      <c r="B1251" s="5" t="s">
        <v>35</v>
      </c>
      <c r="C1251" s="5">
        <f t="shared" si="19"/>
        <v>1</v>
      </c>
    </row>
    <row r="1252" spans="1:3" x14ac:dyDescent="0.3">
      <c r="A1252" s="5">
        <v>1</v>
      </c>
      <c r="B1252" s="5" t="s">
        <v>43</v>
      </c>
      <c r="C1252" s="5">
        <f t="shared" si="19"/>
        <v>0</v>
      </c>
    </row>
    <row r="1253" spans="1:3" x14ac:dyDescent="0.3">
      <c r="A1253" s="5">
        <v>15</v>
      </c>
      <c r="B1253" s="5" t="s">
        <v>43</v>
      </c>
      <c r="C1253" s="5">
        <f t="shared" si="19"/>
        <v>0</v>
      </c>
    </row>
    <row r="1254" spans="1:3" x14ac:dyDescent="0.3">
      <c r="A1254" s="5">
        <v>2</v>
      </c>
      <c r="B1254" s="5" t="s">
        <v>43</v>
      </c>
      <c r="C1254" s="5">
        <f t="shared" si="19"/>
        <v>0</v>
      </c>
    </row>
    <row r="1255" spans="1:3" x14ac:dyDescent="0.3">
      <c r="A1255" s="5">
        <v>2</v>
      </c>
      <c r="B1255" s="5" t="s">
        <v>43</v>
      </c>
      <c r="C1255" s="5">
        <f t="shared" si="19"/>
        <v>0</v>
      </c>
    </row>
    <row r="1256" spans="1:3" x14ac:dyDescent="0.3">
      <c r="A1256" s="5">
        <v>11</v>
      </c>
      <c r="B1256" s="5" t="s">
        <v>43</v>
      </c>
      <c r="C1256" s="5">
        <f t="shared" si="19"/>
        <v>0</v>
      </c>
    </row>
    <row r="1257" spans="1:3" x14ac:dyDescent="0.3">
      <c r="A1257" s="5">
        <v>16</v>
      </c>
      <c r="B1257" s="5" t="s">
        <v>35</v>
      </c>
      <c r="C1257" s="5">
        <f t="shared" si="19"/>
        <v>1</v>
      </c>
    </row>
    <row r="1258" spans="1:3" x14ac:dyDescent="0.3">
      <c r="A1258" s="5">
        <v>2</v>
      </c>
      <c r="B1258" s="5" t="s">
        <v>43</v>
      </c>
      <c r="C1258" s="5">
        <f t="shared" si="19"/>
        <v>0</v>
      </c>
    </row>
    <row r="1259" spans="1:3" x14ac:dyDescent="0.3">
      <c r="A1259" s="5">
        <v>16</v>
      </c>
      <c r="B1259" s="5" t="s">
        <v>35</v>
      </c>
      <c r="C1259" s="5">
        <f t="shared" si="19"/>
        <v>1</v>
      </c>
    </row>
    <row r="1260" spans="1:3" x14ac:dyDescent="0.3">
      <c r="A1260" s="5">
        <v>4</v>
      </c>
      <c r="B1260" s="5" t="s">
        <v>43</v>
      </c>
      <c r="C1260" s="5">
        <f t="shared" si="19"/>
        <v>0</v>
      </c>
    </row>
    <row r="1261" spans="1:3" x14ac:dyDescent="0.3">
      <c r="A1261" s="5">
        <v>16</v>
      </c>
      <c r="B1261" s="5" t="s">
        <v>43</v>
      </c>
      <c r="C1261" s="5">
        <f t="shared" si="19"/>
        <v>0</v>
      </c>
    </row>
    <row r="1262" spans="1:3" x14ac:dyDescent="0.3">
      <c r="A1262" s="5">
        <v>5</v>
      </c>
      <c r="B1262" s="5" t="s">
        <v>43</v>
      </c>
      <c r="C1262" s="5">
        <f t="shared" si="19"/>
        <v>0</v>
      </c>
    </row>
    <row r="1263" spans="1:3" x14ac:dyDescent="0.3">
      <c r="A1263" s="5">
        <v>18</v>
      </c>
      <c r="B1263" s="5" t="s">
        <v>43</v>
      </c>
      <c r="C1263" s="5">
        <f t="shared" si="19"/>
        <v>0</v>
      </c>
    </row>
    <row r="1264" spans="1:3" x14ac:dyDescent="0.3">
      <c r="A1264" s="5">
        <v>17</v>
      </c>
      <c r="B1264" s="5" t="s">
        <v>35</v>
      </c>
      <c r="C1264" s="5">
        <f t="shared" si="19"/>
        <v>1</v>
      </c>
    </row>
    <row r="1265" spans="1:3" x14ac:dyDescent="0.3">
      <c r="A1265" s="5">
        <v>12</v>
      </c>
      <c r="B1265" s="5" t="s">
        <v>43</v>
      </c>
      <c r="C1265" s="5">
        <f t="shared" si="19"/>
        <v>0</v>
      </c>
    </row>
    <row r="1266" spans="1:3" x14ac:dyDescent="0.3">
      <c r="A1266" s="5">
        <v>2</v>
      </c>
      <c r="B1266" s="5" t="s">
        <v>43</v>
      </c>
      <c r="C1266" s="5">
        <f t="shared" si="19"/>
        <v>0</v>
      </c>
    </row>
    <row r="1267" spans="1:3" x14ac:dyDescent="0.3">
      <c r="A1267" s="5">
        <v>4</v>
      </c>
      <c r="B1267" s="5" t="s">
        <v>43</v>
      </c>
      <c r="C1267" s="5">
        <f t="shared" si="19"/>
        <v>0</v>
      </c>
    </row>
    <row r="1268" spans="1:3" x14ac:dyDescent="0.3">
      <c r="A1268" s="5">
        <v>9</v>
      </c>
      <c r="B1268" s="5" t="s">
        <v>43</v>
      </c>
      <c r="C1268" s="5">
        <f t="shared" si="19"/>
        <v>0</v>
      </c>
    </row>
    <row r="1269" spans="1:3" x14ac:dyDescent="0.3">
      <c r="A1269" s="5">
        <v>10</v>
      </c>
      <c r="B1269" s="5" t="s">
        <v>43</v>
      </c>
      <c r="C1269" s="5">
        <f t="shared" si="19"/>
        <v>0</v>
      </c>
    </row>
    <row r="1270" spans="1:3" x14ac:dyDescent="0.3">
      <c r="A1270" s="5">
        <v>1</v>
      </c>
      <c r="B1270" s="5" t="s">
        <v>43</v>
      </c>
      <c r="C1270" s="5">
        <f t="shared" si="19"/>
        <v>0</v>
      </c>
    </row>
    <row r="1271" spans="1:3" x14ac:dyDescent="0.3">
      <c r="A1271" s="5">
        <v>2</v>
      </c>
      <c r="B1271" s="5" t="s">
        <v>43</v>
      </c>
      <c r="C1271" s="5">
        <f t="shared" si="19"/>
        <v>0</v>
      </c>
    </row>
    <row r="1272" spans="1:3" x14ac:dyDescent="0.3">
      <c r="A1272" s="5">
        <v>3</v>
      </c>
      <c r="B1272" s="5" t="s">
        <v>43</v>
      </c>
      <c r="C1272" s="5">
        <f t="shared" si="19"/>
        <v>0</v>
      </c>
    </row>
    <row r="1273" spans="1:3" x14ac:dyDescent="0.3">
      <c r="A1273" s="5">
        <v>7</v>
      </c>
      <c r="B1273" s="5" t="s">
        <v>35</v>
      </c>
      <c r="C1273" s="5">
        <f t="shared" si="19"/>
        <v>1</v>
      </c>
    </row>
    <row r="1274" spans="1:3" x14ac:dyDescent="0.3">
      <c r="A1274" s="5">
        <v>6</v>
      </c>
      <c r="B1274" s="5" t="s">
        <v>43</v>
      </c>
      <c r="C1274" s="5">
        <f t="shared" si="19"/>
        <v>0</v>
      </c>
    </row>
    <row r="1275" spans="1:3" x14ac:dyDescent="0.3">
      <c r="A1275" s="5">
        <v>8</v>
      </c>
      <c r="B1275" s="5" t="s">
        <v>35</v>
      </c>
      <c r="C1275" s="5">
        <f t="shared" si="19"/>
        <v>1</v>
      </c>
    </row>
    <row r="1276" spans="1:3" x14ac:dyDescent="0.3">
      <c r="A1276" s="5">
        <v>29</v>
      </c>
      <c r="B1276" s="5" t="s">
        <v>43</v>
      </c>
      <c r="C1276" s="5">
        <f t="shared" si="19"/>
        <v>0</v>
      </c>
    </row>
    <row r="1277" spans="1:3" x14ac:dyDescent="0.3">
      <c r="A1277" s="5">
        <v>3</v>
      </c>
      <c r="B1277" s="5" t="s">
        <v>43</v>
      </c>
      <c r="C1277" s="5">
        <f t="shared" si="19"/>
        <v>0</v>
      </c>
    </row>
    <row r="1278" spans="1:3" x14ac:dyDescent="0.3">
      <c r="A1278" s="5">
        <v>9</v>
      </c>
      <c r="B1278" s="5" t="s">
        <v>43</v>
      </c>
      <c r="C1278" s="5">
        <f t="shared" si="19"/>
        <v>0</v>
      </c>
    </row>
    <row r="1279" spans="1:3" x14ac:dyDescent="0.3">
      <c r="A1279" s="5">
        <v>2</v>
      </c>
      <c r="B1279" s="5" t="s">
        <v>43</v>
      </c>
      <c r="C1279" s="5">
        <f t="shared" si="19"/>
        <v>0</v>
      </c>
    </row>
    <row r="1280" spans="1:3" x14ac:dyDescent="0.3">
      <c r="A1280" s="5">
        <v>10</v>
      </c>
      <c r="B1280" s="5" t="s">
        <v>43</v>
      </c>
      <c r="C1280" s="5">
        <f t="shared" si="19"/>
        <v>0</v>
      </c>
    </row>
    <row r="1281" spans="1:3" x14ac:dyDescent="0.3">
      <c r="A1281" s="5">
        <v>1</v>
      </c>
      <c r="B1281" s="5" t="s">
        <v>35</v>
      </c>
      <c r="C1281" s="5">
        <f t="shared" si="19"/>
        <v>1</v>
      </c>
    </row>
    <row r="1282" spans="1:3" x14ac:dyDescent="0.3">
      <c r="A1282" s="5">
        <v>8</v>
      </c>
      <c r="B1282" s="5" t="s">
        <v>43</v>
      </c>
      <c r="C1282" s="5">
        <f t="shared" si="19"/>
        <v>0</v>
      </c>
    </row>
    <row r="1283" spans="1:3" x14ac:dyDescent="0.3">
      <c r="A1283" s="5">
        <v>27</v>
      </c>
      <c r="B1283" s="5" t="s">
        <v>35</v>
      </c>
      <c r="C1283" s="5">
        <f t="shared" ref="C1283:C1346" si="20">IF(B1283="Yes",1,0)</f>
        <v>1</v>
      </c>
    </row>
    <row r="1284" spans="1:3" x14ac:dyDescent="0.3">
      <c r="A1284" s="5">
        <v>8</v>
      </c>
      <c r="B1284" s="5" t="s">
        <v>43</v>
      </c>
      <c r="C1284" s="5">
        <f t="shared" si="20"/>
        <v>0</v>
      </c>
    </row>
    <row r="1285" spans="1:3" x14ac:dyDescent="0.3">
      <c r="A1285" s="5">
        <v>1</v>
      </c>
      <c r="B1285" s="5" t="s">
        <v>43</v>
      </c>
      <c r="C1285" s="5">
        <f t="shared" si="20"/>
        <v>0</v>
      </c>
    </row>
    <row r="1286" spans="1:3" x14ac:dyDescent="0.3">
      <c r="A1286" s="5">
        <v>10</v>
      </c>
      <c r="B1286" s="5" t="s">
        <v>43</v>
      </c>
      <c r="C1286" s="5">
        <f t="shared" si="20"/>
        <v>0</v>
      </c>
    </row>
    <row r="1287" spans="1:3" x14ac:dyDescent="0.3">
      <c r="A1287" s="5">
        <v>26</v>
      </c>
      <c r="B1287" s="5" t="s">
        <v>43</v>
      </c>
      <c r="C1287" s="5">
        <f t="shared" si="20"/>
        <v>0</v>
      </c>
    </row>
    <row r="1288" spans="1:3" x14ac:dyDescent="0.3">
      <c r="A1288" s="5">
        <v>2</v>
      </c>
      <c r="B1288" s="5" t="s">
        <v>43</v>
      </c>
      <c r="C1288" s="5">
        <f t="shared" si="20"/>
        <v>0</v>
      </c>
    </row>
    <row r="1289" spans="1:3" x14ac:dyDescent="0.3">
      <c r="A1289" s="5">
        <v>13</v>
      </c>
      <c r="B1289" s="5" t="s">
        <v>43</v>
      </c>
      <c r="C1289" s="5">
        <f t="shared" si="20"/>
        <v>0</v>
      </c>
    </row>
    <row r="1290" spans="1:3" x14ac:dyDescent="0.3">
      <c r="A1290" s="5">
        <v>2</v>
      </c>
      <c r="B1290" s="5" t="s">
        <v>43</v>
      </c>
      <c r="C1290" s="5">
        <f t="shared" si="20"/>
        <v>0</v>
      </c>
    </row>
    <row r="1291" spans="1:3" x14ac:dyDescent="0.3">
      <c r="A1291" s="5">
        <v>2</v>
      </c>
      <c r="B1291" s="5" t="s">
        <v>43</v>
      </c>
      <c r="C1291" s="5">
        <f t="shared" si="20"/>
        <v>0</v>
      </c>
    </row>
    <row r="1292" spans="1:3" x14ac:dyDescent="0.3">
      <c r="A1292" s="5">
        <v>9</v>
      </c>
      <c r="B1292" s="5" t="s">
        <v>35</v>
      </c>
      <c r="C1292" s="5">
        <f t="shared" si="20"/>
        <v>1</v>
      </c>
    </row>
    <row r="1293" spans="1:3" x14ac:dyDescent="0.3">
      <c r="A1293" s="5">
        <v>10</v>
      </c>
      <c r="B1293" s="5" t="s">
        <v>35</v>
      </c>
      <c r="C1293" s="5">
        <f t="shared" si="20"/>
        <v>1</v>
      </c>
    </row>
    <row r="1294" spans="1:3" x14ac:dyDescent="0.3">
      <c r="A1294" s="5">
        <v>20</v>
      </c>
      <c r="B1294" s="5" t="s">
        <v>43</v>
      </c>
      <c r="C1294" s="5">
        <f t="shared" si="20"/>
        <v>0</v>
      </c>
    </row>
    <row r="1295" spans="1:3" x14ac:dyDescent="0.3">
      <c r="A1295" s="5">
        <v>9</v>
      </c>
      <c r="B1295" s="5" t="s">
        <v>43</v>
      </c>
      <c r="C1295" s="5">
        <f t="shared" si="20"/>
        <v>0</v>
      </c>
    </row>
    <row r="1296" spans="1:3" x14ac:dyDescent="0.3">
      <c r="A1296" s="5">
        <v>5</v>
      </c>
      <c r="B1296" s="5" t="s">
        <v>43</v>
      </c>
      <c r="C1296" s="5">
        <f t="shared" si="20"/>
        <v>0</v>
      </c>
    </row>
    <row r="1297" spans="1:3" x14ac:dyDescent="0.3">
      <c r="A1297" s="5">
        <v>4</v>
      </c>
      <c r="B1297" s="5" t="s">
        <v>43</v>
      </c>
      <c r="C1297" s="5">
        <f t="shared" si="20"/>
        <v>0</v>
      </c>
    </row>
    <row r="1298" spans="1:3" x14ac:dyDescent="0.3">
      <c r="A1298" s="5">
        <v>10</v>
      </c>
      <c r="B1298" s="5" t="s">
        <v>43</v>
      </c>
      <c r="C1298" s="5">
        <f t="shared" si="20"/>
        <v>0</v>
      </c>
    </row>
    <row r="1299" spans="1:3" x14ac:dyDescent="0.3">
      <c r="A1299" s="5">
        <v>20</v>
      </c>
      <c r="B1299" s="5" t="s">
        <v>35</v>
      </c>
      <c r="C1299" s="5">
        <f t="shared" si="20"/>
        <v>1</v>
      </c>
    </row>
    <row r="1300" spans="1:3" x14ac:dyDescent="0.3">
      <c r="A1300" s="5">
        <v>21</v>
      </c>
      <c r="B1300" s="5" t="s">
        <v>35</v>
      </c>
      <c r="C1300" s="5">
        <f t="shared" si="20"/>
        <v>1</v>
      </c>
    </row>
    <row r="1301" spans="1:3" x14ac:dyDescent="0.3">
      <c r="A1301" s="5">
        <v>1</v>
      </c>
      <c r="B1301" s="5" t="s">
        <v>43</v>
      </c>
      <c r="C1301" s="5">
        <f t="shared" si="20"/>
        <v>0</v>
      </c>
    </row>
    <row r="1302" spans="1:3" x14ac:dyDescent="0.3">
      <c r="A1302" s="5">
        <v>8</v>
      </c>
      <c r="B1302" s="5" t="s">
        <v>43</v>
      </c>
      <c r="C1302" s="5">
        <f t="shared" si="20"/>
        <v>0</v>
      </c>
    </row>
    <row r="1303" spans="1:3" x14ac:dyDescent="0.3">
      <c r="A1303" s="5">
        <v>2</v>
      </c>
      <c r="B1303" s="5" t="s">
        <v>43</v>
      </c>
      <c r="C1303" s="5">
        <f t="shared" si="20"/>
        <v>0</v>
      </c>
    </row>
    <row r="1304" spans="1:3" x14ac:dyDescent="0.3">
      <c r="A1304" s="5">
        <v>23</v>
      </c>
      <c r="B1304" s="5" t="s">
        <v>43</v>
      </c>
      <c r="C1304" s="5">
        <f t="shared" si="20"/>
        <v>0</v>
      </c>
    </row>
    <row r="1305" spans="1:3" x14ac:dyDescent="0.3">
      <c r="A1305" s="5">
        <v>4</v>
      </c>
      <c r="B1305" s="5" t="s">
        <v>43</v>
      </c>
      <c r="C1305" s="5">
        <f t="shared" si="20"/>
        <v>0</v>
      </c>
    </row>
    <row r="1306" spans="1:3" x14ac:dyDescent="0.3">
      <c r="A1306" s="5">
        <v>12</v>
      </c>
      <c r="B1306" s="5" t="s">
        <v>43</v>
      </c>
      <c r="C1306" s="5">
        <f t="shared" si="20"/>
        <v>0</v>
      </c>
    </row>
    <row r="1307" spans="1:3" x14ac:dyDescent="0.3">
      <c r="A1307" s="5">
        <v>7</v>
      </c>
      <c r="B1307" s="5" t="s">
        <v>43</v>
      </c>
      <c r="C1307" s="5">
        <f t="shared" si="20"/>
        <v>0</v>
      </c>
    </row>
    <row r="1308" spans="1:3" x14ac:dyDescent="0.3">
      <c r="A1308" s="5">
        <v>7</v>
      </c>
      <c r="B1308" s="5" t="s">
        <v>43</v>
      </c>
      <c r="C1308" s="5">
        <f t="shared" si="20"/>
        <v>0</v>
      </c>
    </row>
    <row r="1309" spans="1:3" x14ac:dyDescent="0.3">
      <c r="A1309" s="5">
        <v>1</v>
      </c>
      <c r="B1309" s="5" t="s">
        <v>43</v>
      </c>
      <c r="C1309" s="5">
        <f t="shared" si="20"/>
        <v>0</v>
      </c>
    </row>
    <row r="1310" spans="1:3" x14ac:dyDescent="0.3">
      <c r="A1310" s="5">
        <v>2</v>
      </c>
      <c r="B1310" s="5" t="s">
        <v>43</v>
      </c>
      <c r="C1310" s="5">
        <f t="shared" si="20"/>
        <v>0</v>
      </c>
    </row>
    <row r="1311" spans="1:3" x14ac:dyDescent="0.3">
      <c r="A1311" s="5">
        <v>10</v>
      </c>
      <c r="B1311" s="5" t="s">
        <v>43</v>
      </c>
      <c r="C1311" s="5">
        <f t="shared" si="20"/>
        <v>0</v>
      </c>
    </row>
    <row r="1312" spans="1:3" x14ac:dyDescent="0.3">
      <c r="A1312" s="5">
        <v>15</v>
      </c>
      <c r="B1312" s="5" t="s">
        <v>43</v>
      </c>
      <c r="C1312" s="5">
        <f t="shared" si="20"/>
        <v>0</v>
      </c>
    </row>
    <row r="1313" spans="1:3" x14ac:dyDescent="0.3">
      <c r="A1313" s="5">
        <v>14</v>
      </c>
      <c r="B1313" s="5" t="s">
        <v>43</v>
      </c>
      <c r="C1313" s="5">
        <f t="shared" si="20"/>
        <v>0</v>
      </c>
    </row>
    <row r="1314" spans="1:3" x14ac:dyDescent="0.3">
      <c r="A1314" s="5">
        <v>18</v>
      </c>
      <c r="B1314" s="5" t="s">
        <v>35</v>
      </c>
      <c r="C1314" s="5">
        <f t="shared" si="20"/>
        <v>1</v>
      </c>
    </row>
    <row r="1315" spans="1:3" x14ac:dyDescent="0.3">
      <c r="A1315" s="5">
        <v>13</v>
      </c>
      <c r="B1315" s="5" t="s">
        <v>35</v>
      </c>
      <c r="C1315" s="5">
        <f t="shared" si="20"/>
        <v>1</v>
      </c>
    </row>
    <row r="1316" spans="1:3" x14ac:dyDescent="0.3">
      <c r="A1316" s="5">
        <v>2</v>
      </c>
      <c r="B1316" s="5" t="s">
        <v>43</v>
      </c>
      <c r="C1316" s="5">
        <f t="shared" si="20"/>
        <v>0</v>
      </c>
    </row>
    <row r="1317" spans="1:3" x14ac:dyDescent="0.3">
      <c r="A1317" s="5">
        <v>2</v>
      </c>
      <c r="B1317" s="5" t="s">
        <v>43</v>
      </c>
      <c r="C1317" s="5">
        <f t="shared" si="20"/>
        <v>0</v>
      </c>
    </row>
    <row r="1318" spans="1:3" x14ac:dyDescent="0.3">
      <c r="A1318" s="5">
        <v>2</v>
      </c>
      <c r="B1318" s="5" t="s">
        <v>43</v>
      </c>
      <c r="C1318" s="5">
        <f t="shared" si="20"/>
        <v>0</v>
      </c>
    </row>
    <row r="1319" spans="1:3" x14ac:dyDescent="0.3">
      <c r="A1319" s="5">
        <v>5</v>
      </c>
      <c r="B1319" s="5" t="s">
        <v>43</v>
      </c>
      <c r="C1319" s="5">
        <f t="shared" si="20"/>
        <v>0</v>
      </c>
    </row>
    <row r="1320" spans="1:3" x14ac:dyDescent="0.3">
      <c r="A1320" s="5">
        <v>20</v>
      </c>
      <c r="B1320" s="5" t="s">
        <v>43</v>
      </c>
      <c r="C1320" s="5">
        <f t="shared" si="20"/>
        <v>0</v>
      </c>
    </row>
    <row r="1321" spans="1:3" x14ac:dyDescent="0.3">
      <c r="A1321" s="5">
        <v>10</v>
      </c>
      <c r="B1321" s="5" t="s">
        <v>43</v>
      </c>
      <c r="C1321" s="5">
        <f t="shared" si="20"/>
        <v>0</v>
      </c>
    </row>
    <row r="1322" spans="1:3" x14ac:dyDescent="0.3">
      <c r="A1322" s="5">
        <v>10</v>
      </c>
      <c r="B1322" s="5" t="s">
        <v>43</v>
      </c>
      <c r="C1322" s="5">
        <f t="shared" si="20"/>
        <v>0</v>
      </c>
    </row>
    <row r="1323" spans="1:3" x14ac:dyDescent="0.3">
      <c r="A1323" s="5">
        <v>9</v>
      </c>
      <c r="B1323" s="5" t="s">
        <v>43</v>
      </c>
      <c r="C1323" s="5">
        <f t="shared" si="20"/>
        <v>0</v>
      </c>
    </row>
    <row r="1324" spans="1:3" x14ac:dyDescent="0.3">
      <c r="A1324" s="5">
        <v>2</v>
      </c>
      <c r="B1324" s="5" t="s">
        <v>43</v>
      </c>
      <c r="C1324" s="5">
        <f t="shared" si="20"/>
        <v>0</v>
      </c>
    </row>
    <row r="1325" spans="1:3" x14ac:dyDescent="0.3">
      <c r="A1325" s="5">
        <v>1</v>
      </c>
      <c r="B1325" s="5" t="s">
        <v>43</v>
      </c>
      <c r="C1325" s="5">
        <f t="shared" si="20"/>
        <v>0</v>
      </c>
    </row>
    <row r="1326" spans="1:3" x14ac:dyDescent="0.3">
      <c r="A1326" s="5">
        <v>29</v>
      </c>
      <c r="B1326" s="5" t="s">
        <v>43</v>
      </c>
      <c r="C1326" s="5">
        <f t="shared" si="20"/>
        <v>0</v>
      </c>
    </row>
    <row r="1327" spans="1:3" x14ac:dyDescent="0.3">
      <c r="A1327" s="5">
        <v>8</v>
      </c>
      <c r="B1327" s="5" t="s">
        <v>43</v>
      </c>
      <c r="C1327" s="5">
        <f t="shared" si="20"/>
        <v>0</v>
      </c>
    </row>
    <row r="1328" spans="1:3" x14ac:dyDescent="0.3">
      <c r="A1328" s="5">
        <v>2</v>
      </c>
      <c r="B1328" s="5" t="s">
        <v>35</v>
      </c>
      <c r="C1328" s="5">
        <f t="shared" si="20"/>
        <v>1</v>
      </c>
    </row>
    <row r="1329" spans="1:3" x14ac:dyDescent="0.3">
      <c r="A1329" s="5">
        <v>3</v>
      </c>
      <c r="B1329" s="5" t="s">
        <v>43</v>
      </c>
      <c r="C1329" s="5">
        <f t="shared" si="20"/>
        <v>0</v>
      </c>
    </row>
    <row r="1330" spans="1:3" x14ac:dyDescent="0.3">
      <c r="A1330" s="5">
        <v>23</v>
      </c>
      <c r="B1330" s="5" t="s">
        <v>43</v>
      </c>
      <c r="C1330" s="5">
        <f t="shared" si="20"/>
        <v>0</v>
      </c>
    </row>
    <row r="1331" spans="1:3" x14ac:dyDescent="0.3">
      <c r="A1331" s="5">
        <v>6</v>
      </c>
      <c r="B1331" s="5" t="s">
        <v>43</v>
      </c>
      <c r="C1331" s="5">
        <f t="shared" si="20"/>
        <v>0</v>
      </c>
    </row>
    <row r="1332" spans="1:3" x14ac:dyDescent="0.3">
      <c r="A1332" s="5">
        <v>6</v>
      </c>
      <c r="B1332" s="5" t="s">
        <v>43</v>
      </c>
      <c r="C1332" s="5">
        <f t="shared" si="20"/>
        <v>0</v>
      </c>
    </row>
    <row r="1333" spans="1:3" x14ac:dyDescent="0.3">
      <c r="A1333" s="5">
        <v>10</v>
      </c>
      <c r="B1333" s="5" t="s">
        <v>43</v>
      </c>
      <c r="C1333" s="5">
        <f t="shared" si="20"/>
        <v>0</v>
      </c>
    </row>
    <row r="1334" spans="1:3" x14ac:dyDescent="0.3">
      <c r="A1334" s="5">
        <v>24</v>
      </c>
      <c r="B1334" s="5" t="s">
        <v>35</v>
      </c>
      <c r="C1334" s="5">
        <f t="shared" si="20"/>
        <v>1</v>
      </c>
    </row>
    <row r="1335" spans="1:3" x14ac:dyDescent="0.3">
      <c r="A1335" s="5">
        <v>10</v>
      </c>
      <c r="B1335" s="5" t="s">
        <v>35</v>
      </c>
      <c r="C1335" s="5">
        <f t="shared" si="20"/>
        <v>1</v>
      </c>
    </row>
    <row r="1336" spans="1:3" x14ac:dyDescent="0.3">
      <c r="A1336" s="5">
        <v>15</v>
      </c>
      <c r="B1336" s="5" t="s">
        <v>43</v>
      </c>
      <c r="C1336" s="5">
        <f t="shared" si="20"/>
        <v>0</v>
      </c>
    </row>
    <row r="1337" spans="1:3" x14ac:dyDescent="0.3">
      <c r="A1337" s="5">
        <v>19</v>
      </c>
      <c r="B1337" s="5" t="s">
        <v>43</v>
      </c>
      <c r="C1337" s="5">
        <f t="shared" si="20"/>
        <v>0</v>
      </c>
    </row>
    <row r="1338" spans="1:3" x14ac:dyDescent="0.3">
      <c r="A1338" s="5">
        <v>2</v>
      </c>
      <c r="B1338" s="5" t="s">
        <v>43</v>
      </c>
      <c r="C1338" s="5">
        <f t="shared" si="20"/>
        <v>0</v>
      </c>
    </row>
    <row r="1339" spans="1:3" x14ac:dyDescent="0.3">
      <c r="A1339" s="5">
        <v>3</v>
      </c>
      <c r="B1339" s="5" t="s">
        <v>43</v>
      </c>
      <c r="C1339" s="5">
        <f t="shared" si="20"/>
        <v>0</v>
      </c>
    </row>
    <row r="1340" spans="1:3" x14ac:dyDescent="0.3">
      <c r="A1340" s="5">
        <v>9</v>
      </c>
      <c r="B1340" s="5" t="s">
        <v>35</v>
      </c>
      <c r="C1340" s="5">
        <f t="shared" si="20"/>
        <v>1</v>
      </c>
    </row>
    <row r="1341" spans="1:3" x14ac:dyDescent="0.3">
      <c r="A1341" s="5">
        <v>7</v>
      </c>
      <c r="B1341" s="5" t="s">
        <v>35</v>
      </c>
      <c r="C1341" s="5">
        <f t="shared" si="20"/>
        <v>1</v>
      </c>
    </row>
    <row r="1342" spans="1:3" x14ac:dyDescent="0.3">
      <c r="A1342" s="5">
        <v>10</v>
      </c>
      <c r="B1342" s="5" t="s">
        <v>43</v>
      </c>
      <c r="C1342" s="5">
        <f t="shared" si="20"/>
        <v>0</v>
      </c>
    </row>
    <row r="1343" spans="1:3" x14ac:dyDescent="0.3">
      <c r="A1343" s="5">
        <v>20</v>
      </c>
      <c r="B1343" s="5" t="s">
        <v>43</v>
      </c>
      <c r="C1343" s="5">
        <f t="shared" si="20"/>
        <v>0</v>
      </c>
    </row>
    <row r="1344" spans="1:3" x14ac:dyDescent="0.3">
      <c r="A1344" s="5">
        <v>4</v>
      </c>
      <c r="B1344" s="5" t="s">
        <v>43</v>
      </c>
      <c r="C1344" s="5">
        <f t="shared" si="20"/>
        <v>0</v>
      </c>
    </row>
    <row r="1345" spans="1:3" x14ac:dyDescent="0.3">
      <c r="A1345" s="5">
        <v>7</v>
      </c>
      <c r="B1345" s="5" t="s">
        <v>43</v>
      </c>
      <c r="C1345" s="5">
        <f t="shared" si="20"/>
        <v>0</v>
      </c>
    </row>
    <row r="1346" spans="1:3" x14ac:dyDescent="0.3">
      <c r="A1346" s="5">
        <v>7</v>
      </c>
      <c r="B1346" s="5" t="s">
        <v>43</v>
      </c>
      <c r="C1346" s="5">
        <f t="shared" si="20"/>
        <v>0</v>
      </c>
    </row>
    <row r="1347" spans="1:3" x14ac:dyDescent="0.3">
      <c r="A1347" s="5">
        <v>16</v>
      </c>
      <c r="B1347" s="5" t="s">
        <v>43</v>
      </c>
      <c r="C1347" s="5">
        <f t="shared" ref="C1347:C1410" si="21">IF(B1347="Yes",1,0)</f>
        <v>0</v>
      </c>
    </row>
    <row r="1348" spans="1:3" x14ac:dyDescent="0.3">
      <c r="A1348" s="5">
        <v>25</v>
      </c>
      <c r="B1348" s="5" t="s">
        <v>43</v>
      </c>
      <c r="C1348" s="5">
        <f t="shared" si="21"/>
        <v>0</v>
      </c>
    </row>
    <row r="1349" spans="1:3" x14ac:dyDescent="0.3">
      <c r="A1349" s="5">
        <v>2</v>
      </c>
      <c r="B1349" s="5" t="s">
        <v>43</v>
      </c>
      <c r="C1349" s="5">
        <f t="shared" si="21"/>
        <v>0</v>
      </c>
    </row>
    <row r="1350" spans="1:3" x14ac:dyDescent="0.3">
      <c r="A1350" s="5">
        <v>1</v>
      </c>
      <c r="B1350" s="5" t="s">
        <v>43</v>
      </c>
      <c r="C1350" s="5">
        <f t="shared" si="21"/>
        <v>0</v>
      </c>
    </row>
    <row r="1351" spans="1:3" x14ac:dyDescent="0.3">
      <c r="A1351" s="5">
        <v>1</v>
      </c>
      <c r="B1351" s="5" t="s">
        <v>43</v>
      </c>
      <c r="C1351" s="5">
        <f t="shared" si="21"/>
        <v>0</v>
      </c>
    </row>
    <row r="1352" spans="1:3" x14ac:dyDescent="0.3">
      <c r="A1352" s="5">
        <v>2</v>
      </c>
      <c r="B1352" s="5" t="s">
        <v>43</v>
      </c>
      <c r="C1352" s="5">
        <f t="shared" si="21"/>
        <v>0</v>
      </c>
    </row>
    <row r="1353" spans="1:3" x14ac:dyDescent="0.3">
      <c r="A1353" s="5">
        <v>22</v>
      </c>
      <c r="B1353" s="5" t="s">
        <v>43</v>
      </c>
      <c r="C1353" s="5">
        <f t="shared" si="21"/>
        <v>0</v>
      </c>
    </row>
    <row r="1354" spans="1:3" x14ac:dyDescent="0.3">
      <c r="A1354" s="5">
        <v>1</v>
      </c>
      <c r="B1354" s="5" t="s">
        <v>43</v>
      </c>
      <c r="C1354" s="5">
        <f t="shared" si="21"/>
        <v>0</v>
      </c>
    </row>
    <row r="1355" spans="1:3" x14ac:dyDescent="0.3">
      <c r="A1355" s="5">
        <v>16</v>
      </c>
      <c r="B1355" s="5" t="s">
        <v>35</v>
      </c>
      <c r="C1355" s="5">
        <f t="shared" si="21"/>
        <v>1</v>
      </c>
    </row>
    <row r="1356" spans="1:3" x14ac:dyDescent="0.3">
      <c r="A1356" s="5">
        <v>24</v>
      </c>
      <c r="B1356" s="5" t="s">
        <v>35</v>
      </c>
      <c r="C1356" s="5">
        <f t="shared" si="21"/>
        <v>1</v>
      </c>
    </row>
    <row r="1357" spans="1:3" x14ac:dyDescent="0.3">
      <c r="A1357" s="5">
        <v>17</v>
      </c>
      <c r="B1357" s="5" t="s">
        <v>43</v>
      </c>
      <c r="C1357" s="5">
        <f t="shared" si="21"/>
        <v>0</v>
      </c>
    </row>
    <row r="1358" spans="1:3" x14ac:dyDescent="0.3">
      <c r="A1358" s="5">
        <v>8</v>
      </c>
      <c r="B1358" s="5" t="s">
        <v>43</v>
      </c>
      <c r="C1358" s="5">
        <f t="shared" si="21"/>
        <v>0</v>
      </c>
    </row>
    <row r="1359" spans="1:3" x14ac:dyDescent="0.3">
      <c r="A1359" s="5">
        <v>6</v>
      </c>
      <c r="B1359" s="5" t="s">
        <v>43</v>
      </c>
      <c r="C1359" s="5">
        <f t="shared" si="21"/>
        <v>0</v>
      </c>
    </row>
    <row r="1360" spans="1:3" x14ac:dyDescent="0.3">
      <c r="A1360" s="5">
        <v>10</v>
      </c>
      <c r="B1360" s="5" t="s">
        <v>43</v>
      </c>
      <c r="C1360" s="5">
        <f t="shared" si="21"/>
        <v>0</v>
      </c>
    </row>
    <row r="1361" spans="1:3" x14ac:dyDescent="0.3">
      <c r="A1361" s="5">
        <v>3</v>
      </c>
      <c r="B1361" s="5" t="s">
        <v>43</v>
      </c>
      <c r="C1361" s="5">
        <f t="shared" si="21"/>
        <v>0</v>
      </c>
    </row>
    <row r="1362" spans="1:3" x14ac:dyDescent="0.3">
      <c r="A1362" s="5">
        <v>4</v>
      </c>
      <c r="B1362" s="5" t="s">
        <v>43</v>
      </c>
      <c r="C1362" s="5">
        <f t="shared" si="21"/>
        <v>0</v>
      </c>
    </row>
    <row r="1363" spans="1:3" x14ac:dyDescent="0.3">
      <c r="A1363" s="5">
        <v>6</v>
      </c>
      <c r="B1363" s="5" t="s">
        <v>43</v>
      </c>
      <c r="C1363" s="5">
        <f t="shared" si="21"/>
        <v>0</v>
      </c>
    </row>
    <row r="1364" spans="1:3" x14ac:dyDescent="0.3">
      <c r="A1364" s="5">
        <v>1</v>
      </c>
      <c r="B1364" s="5" t="s">
        <v>43</v>
      </c>
      <c r="C1364" s="5">
        <f t="shared" si="21"/>
        <v>0</v>
      </c>
    </row>
    <row r="1365" spans="1:3" x14ac:dyDescent="0.3">
      <c r="A1365" s="5">
        <v>10</v>
      </c>
      <c r="B1365" s="5" t="s">
        <v>43</v>
      </c>
      <c r="C1365" s="5">
        <f t="shared" si="21"/>
        <v>0</v>
      </c>
    </row>
    <row r="1366" spans="1:3" x14ac:dyDescent="0.3">
      <c r="A1366" s="5">
        <v>1</v>
      </c>
      <c r="B1366" s="5" t="s">
        <v>43</v>
      </c>
      <c r="C1366" s="5">
        <f t="shared" si="21"/>
        <v>0</v>
      </c>
    </row>
    <row r="1367" spans="1:3" x14ac:dyDescent="0.3">
      <c r="A1367" s="5">
        <v>24</v>
      </c>
      <c r="B1367" s="5" t="s">
        <v>35</v>
      </c>
      <c r="C1367" s="5">
        <f t="shared" si="21"/>
        <v>1</v>
      </c>
    </row>
    <row r="1368" spans="1:3" x14ac:dyDescent="0.3">
      <c r="A1368" s="5">
        <v>21</v>
      </c>
      <c r="B1368" s="5" t="s">
        <v>43</v>
      </c>
      <c r="C1368" s="5">
        <f t="shared" si="21"/>
        <v>0</v>
      </c>
    </row>
    <row r="1369" spans="1:3" x14ac:dyDescent="0.3">
      <c r="A1369" s="5">
        <v>2</v>
      </c>
      <c r="B1369" s="5" t="s">
        <v>43</v>
      </c>
      <c r="C1369" s="5">
        <f t="shared" si="21"/>
        <v>0</v>
      </c>
    </row>
    <row r="1370" spans="1:3" x14ac:dyDescent="0.3">
      <c r="A1370" s="5">
        <v>22</v>
      </c>
      <c r="B1370" s="5" t="s">
        <v>43</v>
      </c>
      <c r="C1370" s="5">
        <f t="shared" si="21"/>
        <v>0</v>
      </c>
    </row>
    <row r="1371" spans="1:3" x14ac:dyDescent="0.3">
      <c r="A1371" s="5">
        <v>13</v>
      </c>
      <c r="B1371" s="5" t="s">
        <v>35</v>
      </c>
      <c r="C1371" s="5">
        <f t="shared" si="21"/>
        <v>1</v>
      </c>
    </row>
    <row r="1372" spans="1:3" x14ac:dyDescent="0.3">
      <c r="A1372" s="5">
        <v>14</v>
      </c>
      <c r="B1372" s="5" t="s">
        <v>43</v>
      </c>
      <c r="C1372" s="5">
        <f t="shared" si="21"/>
        <v>0</v>
      </c>
    </row>
    <row r="1373" spans="1:3" x14ac:dyDescent="0.3">
      <c r="A1373" s="5">
        <v>11</v>
      </c>
      <c r="B1373" s="5" t="s">
        <v>43</v>
      </c>
      <c r="C1373" s="5">
        <f t="shared" si="21"/>
        <v>0</v>
      </c>
    </row>
    <row r="1374" spans="1:3" x14ac:dyDescent="0.3">
      <c r="A1374" s="5">
        <v>9</v>
      </c>
      <c r="B1374" s="5" t="s">
        <v>43</v>
      </c>
      <c r="C1374" s="5">
        <f t="shared" si="21"/>
        <v>0</v>
      </c>
    </row>
    <row r="1375" spans="1:3" x14ac:dyDescent="0.3">
      <c r="A1375" s="5">
        <v>8</v>
      </c>
      <c r="B1375" s="5" t="s">
        <v>43</v>
      </c>
      <c r="C1375" s="5">
        <f t="shared" si="21"/>
        <v>0</v>
      </c>
    </row>
    <row r="1376" spans="1:3" x14ac:dyDescent="0.3">
      <c r="A1376" s="5">
        <v>21</v>
      </c>
      <c r="B1376" s="5" t="s">
        <v>43</v>
      </c>
      <c r="C1376" s="5">
        <f t="shared" si="21"/>
        <v>0</v>
      </c>
    </row>
    <row r="1377" spans="1:3" x14ac:dyDescent="0.3">
      <c r="A1377" s="5">
        <v>5</v>
      </c>
      <c r="B1377" s="5" t="s">
        <v>35</v>
      </c>
      <c r="C1377" s="5">
        <f t="shared" si="21"/>
        <v>1</v>
      </c>
    </row>
    <row r="1378" spans="1:3" x14ac:dyDescent="0.3">
      <c r="A1378" s="5">
        <v>9</v>
      </c>
      <c r="B1378" s="5" t="s">
        <v>43</v>
      </c>
      <c r="C1378" s="5">
        <f t="shared" si="21"/>
        <v>0</v>
      </c>
    </row>
    <row r="1379" spans="1:3" x14ac:dyDescent="0.3">
      <c r="A1379" s="5">
        <v>2</v>
      </c>
      <c r="B1379" s="5" t="s">
        <v>43</v>
      </c>
      <c r="C1379" s="5">
        <f t="shared" si="21"/>
        <v>0</v>
      </c>
    </row>
    <row r="1380" spans="1:3" x14ac:dyDescent="0.3">
      <c r="A1380" s="5">
        <v>12</v>
      </c>
      <c r="B1380" s="5" t="s">
        <v>43</v>
      </c>
      <c r="C1380" s="5">
        <f t="shared" si="21"/>
        <v>0</v>
      </c>
    </row>
    <row r="1381" spans="1:3" x14ac:dyDescent="0.3">
      <c r="A1381" s="5">
        <v>22</v>
      </c>
      <c r="B1381" s="5" t="s">
        <v>35</v>
      </c>
      <c r="C1381" s="5">
        <f t="shared" si="21"/>
        <v>1</v>
      </c>
    </row>
    <row r="1382" spans="1:3" x14ac:dyDescent="0.3">
      <c r="A1382" s="5">
        <v>18</v>
      </c>
      <c r="B1382" s="5" t="s">
        <v>43</v>
      </c>
      <c r="C1382" s="5">
        <f t="shared" si="21"/>
        <v>0</v>
      </c>
    </row>
    <row r="1383" spans="1:3" x14ac:dyDescent="0.3">
      <c r="A1383" s="5">
        <v>16</v>
      </c>
      <c r="B1383" s="5" t="s">
        <v>43</v>
      </c>
      <c r="C1383" s="5">
        <f t="shared" si="21"/>
        <v>0</v>
      </c>
    </row>
    <row r="1384" spans="1:3" x14ac:dyDescent="0.3">
      <c r="A1384" s="5">
        <v>3</v>
      </c>
      <c r="B1384" s="5" t="s">
        <v>43</v>
      </c>
      <c r="C1384" s="5">
        <f t="shared" si="21"/>
        <v>0</v>
      </c>
    </row>
    <row r="1385" spans="1:3" x14ac:dyDescent="0.3">
      <c r="A1385" s="5">
        <v>9</v>
      </c>
      <c r="B1385" s="5" t="s">
        <v>43</v>
      </c>
      <c r="C1385" s="5">
        <f t="shared" si="21"/>
        <v>0</v>
      </c>
    </row>
    <row r="1386" spans="1:3" x14ac:dyDescent="0.3">
      <c r="A1386" s="5">
        <v>1</v>
      </c>
      <c r="B1386" s="5" t="s">
        <v>43</v>
      </c>
      <c r="C1386" s="5">
        <f t="shared" si="21"/>
        <v>0</v>
      </c>
    </row>
    <row r="1387" spans="1:3" x14ac:dyDescent="0.3">
      <c r="A1387" s="5">
        <v>13</v>
      </c>
      <c r="B1387" s="5" t="s">
        <v>43</v>
      </c>
      <c r="C1387" s="5">
        <f t="shared" si="21"/>
        <v>0</v>
      </c>
    </row>
    <row r="1388" spans="1:3" x14ac:dyDescent="0.3">
      <c r="A1388" s="5">
        <v>1</v>
      </c>
      <c r="B1388" s="5" t="s">
        <v>43</v>
      </c>
      <c r="C1388" s="5">
        <f t="shared" si="21"/>
        <v>0</v>
      </c>
    </row>
    <row r="1389" spans="1:3" x14ac:dyDescent="0.3">
      <c r="A1389" s="5">
        <v>1</v>
      </c>
      <c r="B1389" s="5" t="s">
        <v>43</v>
      </c>
      <c r="C1389" s="5">
        <f t="shared" si="21"/>
        <v>0</v>
      </c>
    </row>
    <row r="1390" spans="1:3" x14ac:dyDescent="0.3">
      <c r="A1390" s="5">
        <v>15</v>
      </c>
      <c r="B1390" s="5" t="s">
        <v>43</v>
      </c>
      <c r="C1390" s="5">
        <f t="shared" si="21"/>
        <v>0</v>
      </c>
    </row>
    <row r="1391" spans="1:3" x14ac:dyDescent="0.3">
      <c r="A1391" s="5">
        <v>1</v>
      </c>
      <c r="B1391" s="5" t="s">
        <v>43</v>
      </c>
      <c r="C1391" s="5">
        <f t="shared" si="21"/>
        <v>0</v>
      </c>
    </row>
    <row r="1392" spans="1:3" x14ac:dyDescent="0.3">
      <c r="A1392" s="5">
        <v>17</v>
      </c>
      <c r="B1392" s="5" t="s">
        <v>35</v>
      </c>
      <c r="C1392" s="5">
        <f t="shared" si="21"/>
        <v>1</v>
      </c>
    </row>
    <row r="1393" spans="1:3" x14ac:dyDescent="0.3">
      <c r="A1393" s="5">
        <v>1</v>
      </c>
      <c r="B1393" s="5" t="s">
        <v>43</v>
      </c>
      <c r="C1393" s="5">
        <f t="shared" si="21"/>
        <v>0</v>
      </c>
    </row>
    <row r="1394" spans="1:3" x14ac:dyDescent="0.3">
      <c r="A1394" s="5">
        <v>7</v>
      </c>
      <c r="B1394" s="5" t="s">
        <v>43</v>
      </c>
      <c r="C1394" s="5">
        <f t="shared" si="21"/>
        <v>0</v>
      </c>
    </row>
    <row r="1395" spans="1:3" x14ac:dyDescent="0.3">
      <c r="A1395" s="5">
        <v>9</v>
      </c>
      <c r="B1395" s="5" t="s">
        <v>43</v>
      </c>
      <c r="C1395" s="5">
        <f t="shared" si="21"/>
        <v>0</v>
      </c>
    </row>
    <row r="1396" spans="1:3" x14ac:dyDescent="0.3">
      <c r="A1396" s="5">
        <v>5</v>
      </c>
      <c r="B1396" s="5" t="s">
        <v>43</v>
      </c>
      <c r="C1396" s="5">
        <f t="shared" si="21"/>
        <v>0</v>
      </c>
    </row>
    <row r="1397" spans="1:3" x14ac:dyDescent="0.3">
      <c r="A1397" s="5">
        <v>26</v>
      </c>
      <c r="B1397" s="5" t="s">
        <v>35</v>
      </c>
      <c r="C1397" s="5">
        <f t="shared" si="21"/>
        <v>1</v>
      </c>
    </row>
    <row r="1398" spans="1:3" x14ac:dyDescent="0.3">
      <c r="A1398" s="5">
        <v>24</v>
      </c>
      <c r="B1398" s="5" t="s">
        <v>35</v>
      </c>
      <c r="C1398" s="5">
        <f t="shared" si="21"/>
        <v>1</v>
      </c>
    </row>
    <row r="1399" spans="1:3" x14ac:dyDescent="0.3">
      <c r="A1399" s="5">
        <v>9</v>
      </c>
      <c r="B1399" s="5" t="s">
        <v>43</v>
      </c>
      <c r="C1399" s="5">
        <f t="shared" si="21"/>
        <v>0</v>
      </c>
    </row>
    <row r="1400" spans="1:3" x14ac:dyDescent="0.3">
      <c r="A1400" s="5">
        <v>7</v>
      </c>
      <c r="B1400" s="5" t="s">
        <v>43</v>
      </c>
      <c r="C1400" s="5">
        <f t="shared" si="21"/>
        <v>0</v>
      </c>
    </row>
    <row r="1401" spans="1:3" x14ac:dyDescent="0.3">
      <c r="A1401" s="5">
        <v>11</v>
      </c>
      <c r="B1401" s="5" t="s">
        <v>43</v>
      </c>
      <c r="C1401" s="5">
        <f t="shared" si="21"/>
        <v>0</v>
      </c>
    </row>
    <row r="1402" spans="1:3" x14ac:dyDescent="0.3">
      <c r="A1402" s="5">
        <v>1</v>
      </c>
      <c r="B1402" s="5" t="s">
        <v>43</v>
      </c>
      <c r="C1402" s="5">
        <f t="shared" si="21"/>
        <v>0</v>
      </c>
    </row>
    <row r="1403" spans="1:3" x14ac:dyDescent="0.3">
      <c r="A1403" s="5">
        <v>26</v>
      </c>
      <c r="B1403" s="5" t="s">
        <v>43</v>
      </c>
      <c r="C1403" s="5">
        <f t="shared" si="21"/>
        <v>0</v>
      </c>
    </row>
    <row r="1404" spans="1:3" x14ac:dyDescent="0.3">
      <c r="A1404" s="5">
        <v>2</v>
      </c>
      <c r="B1404" s="5" t="s">
        <v>43</v>
      </c>
      <c r="C1404" s="5">
        <f t="shared" si="21"/>
        <v>0</v>
      </c>
    </row>
    <row r="1405" spans="1:3" x14ac:dyDescent="0.3">
      <c r="A1405" s="5">
        <v>15</v>
      </c>
      <c r="B1405" s="5" t="s">
        <v>43</v>
      </c>
      <c r="C1405" s="5">
        <f t="shared" si="21"/>
        <v>0</v>
      </c>
    </row>
    <row r="1406" spans="1:3" x14ac:dyDescent="0.3">
      <c r="A1406" s="5">
        <v>23</v>
      </c>
      <c r="B1406" s="5" t="s">
        <v>43</v>
      </c>
      <c r="C1406" s="5">
        <f t="shared" si="21"/>
        <v>0</v>
      </c>
    </row>
    <row r="1407" spans="1:3" x14ac:dyDescent="0.3">
      <c r="A1407" s="5">
        <v>10</v>
      </c>
      <c r="B1407" s="5" t="s">
        <v>43</v>
      </c>
      <c r="C1407" s="5">
        <f t="shared" si="21"/>
        <v>0</v>
      </c>
    </row>
    <row r="1408" spans="1:3" x14ac:dyDescent="0.3">
      <c r="A1408" s="5">
        <v>10</v>
      </c>
      <c r="B1408" s="5" t="s">
        <v>43</v>
      </c>
      <c r="C1408" s="5">
        <f t="shared" si="21"/>
        <v>0</v>
      </c>
    </row>
    <row r="1409" spans="1:3" x14ac:dyDescent="0.3">
      <c r="A1409" s="5">
        <v>1</v>
      </c>
      <c r="B1409" s="5" t="s">
        <v>43</v>
      </c>
      <c r="C1409" s="5">
        <f t="shared" si="21"/>
        <v>0</v>
      </c>
    </row>
    <row r="1410" spans="1:3" x14ac:dyDescent="0.3">
      <c r="A1410" s="5">
        <v>12</v>
      </c>
      <c r="B1410" s="5" t="s">
        <v>43</v>
      </c>
      <c r="C1410" s="5">
        <f t="shared" si="21"/>
        <v>0</v>
      </c>
    </row>
    <row r="1411" spans="1:3" x14ac:dyDescent="0.3">
      <c r="A1411" s="5">
        <v>11</v>
      </c>
      <c r="B1411" s="5" t="s">
        <v>43</v>
      </c>
      <c r="C1411" s="5">
        <f t="shared" ref="C1411:C1471" si="22">IF(B1411="Yes",1,0)</f>
        <v>0</v>
      </c>
    </row>
    <row r="1412" spans="1:3" x14ac:dyDescent="0.3">
      <c r="A1412" s="5">
        <v>2</v>
      </c>
      <c r="B1412" s="5" t="s">
        <v>43</v>
      </c>
      <c r="C1412" s="5">
        <f t="shared" si="22"/>
        <v>0</v>
      </c>
    </row>
    <row r="1413" spans="1:3" x14ac:dyDescent="0.3">
      <c r="A1413" s="5">
        <v>2</v>
      </c>
      <c r="B1413" s="5" t="s">
        <v>43</v>
      </c>
      <c r="C1413" s="5">
        <f t="shared" si="22"/>
        <v>0</v>
      </c>
    </row>
    <row r="1414" spans="1:3" x14ac:dyDescent="0.3">
      <c r="A1414" s="5">
        <v>1</v>
      </c>
      <c r="B1414" s="5" t="s">
        <v>43</v>
      </c>
      <c r="C1414" s="5">
        <f t="shared" si="22"/>
        <v>0</v>
      </c>
    </row>
    <row r="1415" spans="1:3" x14ac:dyDescent="0.3">
      <c r="A1415" s="5">
        <v>2</v>
      </c>
      <c r="B1415" s="5" t="s">
        <v>43</v>
      </c>
      <c r="C1415" s="5">
        <f t="shared" si="22"/>
        <v>0</v>
      </c>
    </row>
    <row r="1416" spans="1:3" x14ac:dyDescent="0.3">
      <c r="A1416" s="5">
        <v>25</v>
      </c>
      <c r="B1416" s="5" t="s">
        <v>43</v>
      </c>
      <c r="C1416" s="5">
        <f t="shared" si="22"/>
        <v>0</v>
      </c>
    </row>
    <row r="1417" spans="1:3" x14ac:dyDescent="0.3">
      <c r="A1417" s="5">
        <v>1</v>
      </c>
      <c r="B1417" s="5" t="s">
        <v>43</v>
      </c>
      <c r="C1417" s="5">
        <f t="shared" si="22"/>
        <v>0</v>
      </c>
    </row>
    <row r="1418" spans="1:3" x14ac:dyDescent="0.3">
      <c r="A1418" s="5">
        <v>1</v>
      </c>
      <c r="B1418" s="5" t="s">
        <v>43</v>
      </c>
      <c r="C1418" s="5">
        <f t="shared" si="22"/>
        <v>0</v>
      </c>
    </row>
    <row r="1419" spans="1:3" x14ac:dyDescent="0.3">
      <c r="A1419" s="5">
        <v>2</v>
      </c>
      <c r="B1419" s="5" t="s">
        <v>43</v>
      </c>
      <c r="C1419" s="5">
        <f t="shared" si="22"/>
        <v>0</v>
      </c>
    </row>
    <row r="1420" spans="1:3" x14ac:dyDescent="0.3">
      <c r="A1420" s="5">
        <v>6</v>
      </c>
      <c r="B1420" s="5" t="s">
        <v>43</v>
      </c>
      <c r="C1420" s="5">
        <f t="shared" si="22"/>
        <v>0</v>
      </c>
    </row>
    <row r="1421" spans="1:3" x14ac:dyDescent="0.3">
      <c r="A1421" s="5">
        <v>18</v>
      </c>
      <c r="B1421" s="5" t="s">
        <v>43</v>
      </c>
      <c r="C1421" s="5">
        <f t="shared" si="22"/>
        <v>0</v>
      </c>
    </row>
    <row r="1422" spans="1:3" x14ac:dyDescent="0.3">
      <c r="A1422" s="5">
        <v>1</v>
      </c>
      <c r="B1422" s="5" t="s">
        <v>43</v>
      </c>
      <c r="C1422" s="5">
        <f t="shared" si="22"/>
        <v>0</v>
      </c>
    </row>
    <row r="1423" spans="1:3" x14ac:dyDescent="0.3">
      <c r="A1423" s="5">
        <v>1</v>
      </c>
      <c r="B1423" s="5" t="s">
        <v>43</v>
      </c>
      <c r="C1423" s="5">
        <f t="shared" si="22"/>
        <v>0</v>
      </c>
    </row>
    <row r="1424" spans="1:3" x14ac:dyDescent="0.3">
      <c r="A1424" s="5">
        <v>11</v>
      </c>
      <c r="B1424" s="5" t="s">
        <v>43</v>
      </c>
      <c r="C1424" s="5">
        <f t="shared" si="22"/>
        <v>0</v>
      </c>
    </row>
    <row r="1425" spans="1:3" x14ac:dyDescent="0.3">
      <c r="A1425" s="5">
        <v>1</v>
      </c>
      <c r="B1425" s="5" t="s">
        <v>43</v>
      </c>
      <c r="C1425" s="5">
        <f t="shared" si="22"/>
        <v>0</v>
      </c>
    </row>
    <row r="1426" spans="1:3" x14ac:dyDescent="0.3">
      <c r="A1426" s="5">
        <v>9</v>
      </c>
      <c r="B1426" s="5" t="s">
        <v>43</v>
      </c>
      <c r="C1426" s="5">
        <f t="shared" si="22"/>
        <v>0</v>
      </c>
    </row>
    <row r="1427" spans="1:3" x14ac:dyDescent="0.3">
      <c r="A1427" s="5">
        <v>15</v>
      </c>
      <c r="B1427" s="5" t="s">
        <v>43</v>
      </c>
      <c r="C1427" s="5">
        <f t="shared" si="22"/>
        <v>0</v>
      </c>
    </row>
    <row r="1428" spans="1:3" x14ac:dyDescent="0.3">
      <c r="A1428" s="5">
        <v>29</v>
      </c>
      <c r="B1428" s="5" t="s">
        <v>43</v>
      </c>
      <c r="C1428" s="5">
        <f t="shared" si="22"/>
        <v>0</v>
      </c>
    </row>
    <row r="1429" spans="1:3" x14ac:dyDescent="0.3">
      <c r="A1429" s="5">
        <v>1</v>
      </c>
      <c r="B1429" s="5" t="s">
        <v>43</v>
      </c>
      <c r="C1429" s="5">
        <f t="shared" si="22"/>
        <v>0</v>
      </c>
    </row>
    <row r="1430" spans="1:3" x14ac:dyDescent="0.3">
      <c r="A1430" s="5">
        <v>1</v>
      </c>
      <c r="B1430" s="5" t="s">
        <v>43</v>
      </c>
      <c r="C1430" s="5">
        <f t="shared" si="22"/>
        <v>0</v>
      </c>
    </row>
    <row r="1431" spans="1:3" x14ac:dyDescent="0.3">
      <c r="A1431" s="5">
        <v>24</v>
      </c>
      <c r="B1431" s="5" t="s">
        <v>43</v>
      </c>
      <c r="C1431" s="5">
        <f t="shared" si="22"/>
        <v>0</v>
      </c>
    </row>
    <row r="1432" spans="1:3" x14ac:dyDescent="0.3">
      <c r="A1432" s="5">
        <v>10</v>
      </c>
      <c r="B1432" s="5" t="s">
        <v>43</v>
      </c>
      <c r="C1432" s="5">
        <f t="shared" si="22"/>
        <v>0</v>
      </c>
    </row>
    <row r="1433" spans="1:3" x14ac:dyDescent="0.3">
      <c r="A1433" s="5">
        <v>1</v>
      </c>
      <c r="B1433" s="5" t="s">
        <v>43</v>
      </c>
      <c r="C1433" s="5">
        <f t="shared" si="22"/>
        <v>0</v>
      </c>
    </row>
    <row r="1434" spans="1:3" x14ac:dyDescent="0.3">
      <c r="A1434" s="5">
        <v>10</v>
      </c>
      <c r="B1434" s="5" t="s">
        <v>43</v>
      </c>
      <c r="C1434" s="5">
        <f t="shared" si="22"/>
        <v>0</v>
      </c>
    </row>
    <row r="1435" spans="1:3" x14ac:dyDescent="0.3">
      <c r="A1435" s="5">
        <v>8</v>
      </c>
      <c r="B1435" s="5" t="s">
        <v>43</v>
      </c>
      <c r="C1435" s="5">
        <f t="shared" si="22"/>
        <v>0</v>
      </c>
    </row>
    <row r="1436" spans="1:3" x14ac:dyDescent="0.3">
      <c r="A1436" s="5">
        <v>29</v>
      </c>
      <c r="B1436" s="5" t="s">
        <v>43</v>
      </c>
      <c r="C1436" s="5">
        <f t="shared" si="22"/>
        <v>0</v>
      </c>
    </row>
    <row r="1437" spans="1:3" x14ac:dyDescent="0.3">
      <c r="A1437" s="5">
        <v>1</v>
      </c>
      <c r="B1437" s="5" t="s">
        <v>43</v>
      </c>
      <c r="C1437" s="5">
        <f t="shared" si="22"/>
        <v>0</v>
      </c>
    </row>
    <row r="1438" spans="1:3" x14ac:dyDescent="0.3">
      <c r="A1438" s="5">
        <v>5</v>
      </c>
      <c r="B1438" s="5" t="s">
        <v>43</v>
      </c>
      <c r="C1438" s="5">
        <f t="shared" si="22"/>
        <v>0</v>
      </c>
    </row>
    <row r="1439" spans="1:3" x14ac:dyDescent="0.3">
      <c r="A1439" s="5">
        <v>9</v>
      </c>
      <c r="B1439" s="5" t="s">
        <v>43</v>
      </c>
      <c r="C1439" s="5">
        <f t="shared" si="22"/>
        <v>0</v>
      </c>
    </row>
    <row r="1440" spans="1:3" x14ac:dyDescent="0.3">
      <c r="A1440" s="5">
        <v>9</v>
      </c>
      <c r="B1440" s="5" t="s">
        <v>35</v>
      </c>
      <c r="C1440" s="5">
        <f t="shared" si="22"/>
        <v>1</v>
      </c>
    </row>
    <row r="1441" spans="1:3" x14ac:dyDescent="0.3">
      <c r="A1441" s="5">
        <v>3</v>
      </c>
      <c r="B1441" s="5" t="s">
        <v>43</v>
      </c>
      <c r="C1441" s="5">
        <f t="shared" si="22"/>
        <v>0</v>
      </c>
    </row>
    <row r="1442" spans="1:3" x14ac:dyDescent="0.3">
      <c r="A1442" s="5">
        <v>4</v>
      </c>
      <c r="B1442" s="5" t="s">
        <v>43</v>
      </c>
      <c r="C1442" s="5">
        <f t="shared" si="22"/>
        <v>0</v>
      </c>
    </row>
    <row r="1443" spans="1:3" x14ac:dyDescent="0.3">
      <c r="A1443" s="5">
        <v>1</v>
      </c>
      <c r="B1443" s="5" t="s">
        <v>43</v>
      </c>
      <c r="C1443" s="5">
        <f t="shared" si="22"/>
        <v>0</v>
      </c>
    </row>
    <row r="1444" spans="1:3" x14ac:dyDescent="0.3">
      <c r="A1444" s="5">
        <v>1</v>
      </c>
      <c r="B1444" s="5" t="s">
        <v>35</v>
      </c>
      <c r="C1444" s="5">
        <f t="shared" si="22"/>
        <v>1</v>
      </c>
    </row>
    <row r="1445" spans="1:3" x14ac:dyDescent="0.3">
      <c r="A1445" s="5">
        <v>2</v>
      </c>
      <c r="B1445" s="5" t="s">
        <v>43</v>
      </c>
      <c r="C1445" s="5">
        <f t="shared" si="22"/>
        <v>0</v>
      </c>
    </row>
    <row r="1446" spans="1:3" x14ac:dyDescent="0.3">
      <c r="A1446" s="5">
        <v>7</v>
      </c>
      <c r="B1446" s="5" t="s">
        <v>35</v>
      </c>
      <c r="C1446" s="5">
        <f t="shared" si="22"/>
        <v>1</v>
      </c>
    </row>
    <row r="1447" spans="1:3" x14ac:dyDescent="0.3">
      <c r="A1447" s="5">
        <v>28</v>
      </c>
      <c r="B1447" s="5" t="s">
        <v>43</v>
      </c>
      <c r="C1447" s="5">
        <f t="shared" si="22"/>
        <v>0</v>
      </c>
    </row>
    <row r="1448" spans="1:3" x14ac:dyDescent="0.3">
      <c r="A1448" s="5">
        <v>28</v>
      </c>
      <c r="B1448" s="5" t="s">
        <v>43</v>
      </c>
      <c r="C1448" s="5">
        <f t="shared" si="22"/>
        <v>0</v>
      </c>
    </row>
    <row r="1449" spans="1:3" x14ac:dyDescent="0.3">
      <c r="A1449" s="5">
        <v>15</v>
      </c>
      <c r="B1449" s="5" t="s">
        <v>43</v>
      </c>
      <c r="C1449" s="5">
        <f t="shared" si="22"/>
        <v>0</v>
      </c>
    </row>
    <row r="1450" spans="1:3" x14ac:dyDescent="0.3">
      <c r="A1450" s="5">
        <v>3</v>
      </c>
      <c r="B1450" s="5" t="s">
        <v>43</v>
      </c>
      <c r="C1450" s="5">
        <f t="shared" si="22"/>
        <v>0</v>
      </c>
    </row>
    <row r="1451" spans="1:3" x14ac:dyDescent="0.3">
      <c r="A1451" s="5">
        <v>2</v>
      </c>
      <c r="B1451" s="5" t="s">
        <v>43</v>
      </c>
      <c r="C1451" s="5">
        <f t="shared" si="22"/>
        <v>0</v>
      </c>
    </row>
    <row r="1452" spans="1:3" x14ac:dyDescent="0.3">
      <c r="A1452" s="5">
        <v>26</v>
      </c>
      <c r="B1452" s="5" t="s">
        <v>43</v>
      </c>
      <c r="C1452" s="5">
        <f t="shared" si="22"/>
        <v>0</v>
      </c>
    </row>
    <row r="1453" spans="1:3" x14ac:dyDescent="0.3">
      <c r="A1453" s="5">
        <v>10</v>
      </c>
      <c r="B1453" s="5" t="s">
        <v>43</v>
      </c>
      <c r="C1453" s="5">
        <f t="shared" si="22"/>
        <v>0</v>
      </c>
    </row>
    <row r="1454" spans="1:3" x14ac:dyDescent="0.3">
      <c r="A1454" s="5">
        <v>1</v>
      </c>
      <c r="B1454" s="5" t="s">
        <v>35</v>
      </c>
      <c r="C1454" s="5">
        <f t="shared" si="22"/>
        <v>1</v>
      </c>
    </row>
    <row r="1455" spans="1:3" x14ac:dyDescent="0.3">
      <c r="A1455" s="5">
        <v>11</v>
      </c>
      <c r="B1455" s="5" t="s">
        <v>43</v>
      </c>
      <c r="C1455" s="5">
        <f t="shared" si="22"/>
        <v>0</v>
      </c>
    </row>
    <row r="1456" spans="1:3" x14ac:dyDescent="0.3">
      <c r="A1456" s="5">
        <v>20</v>
      </c>
      <c r="B1456" s="5" t="s">
        <v>43</v>
      </c>
      <c r="C1456" s="5">
        <f t="shared" si="22"/>
        <v>0</v>
      </c>
    </row>
    <row r="1457" spans="1:3" x14ac:dyDescent="0.3">
      <c r="A1457" s="5">
        <v>2</v>
      </c>
      <c r="B1457" s="5" t="s">
        <v>43</v>
      </c>
      <c r="C1457" s="5">
        <f t="shared" si="22"/>
        <v>0</v>
      </c>
    </row>
    <row r="1458" spans="1:3" x14ac:dyDescent="0.3">
      <c r="A1458" s="5">
        <v>18</v>
      </c>
      <c r="B1458" s="5" t="s">
        <v>43</v>
      </c>
      <c r="C1458" s="5">
        <f t="shared" si="22"/>
        <v>0</v>
      </c>
    </row>
    <row r="1459" spans="1:3" x14ac:dyDescent="0.3">
      <c r="A1459" s="5">
        <v>2</v>
      </c>
      <c r="B1459" s="5" t="s">
        <v>43</v>
      </c>
      <c r="C1459" s="5">
        <f t="shared" si="22"/>
        <v>0</v>
      </c>
    </row>
    <row r="1460" spans="1:3" x14ac:dyDescent="0.3">
      <c r="A1460" s="5">
        <v>1</v>
      </c>
      <c r="B1460" s="5" t="s">
        <v>43</v>
      </c>
      <c r="C1460" s="5">
        <f t="shared" si="22"/>
        <v>0</v>
      </c>
    </row>
    <row r="1461" spans="1:3" x14ac:dyDescent="0.3">
      <c r="A1461" s="5">
        <v>13</v>
      </c>
      <c r="B1461" s="5" t="s">
        <v>43</v>
      </c>
      <c r="C1461" s="5">
        <f t="shared" si="22"/>
        <v>0</v>
      </c>
    </row>
    <row r="1462" spans="1:3" x14ac:dyDescent="0.3">
      <c r="A1462" s="5">
        <v>28</v>
      </c>
      <c r="B1462" s="5" t="s">
        <v>43</v>
      </c>
      <c r="C1462" s="5">
        <f t="shared" si="22"/>
        <v>0</v>
      </c>
    </row>
    <row r="1463" spans="1:3" x14ac:dyDescent="0.3">
      <c r="A1463" s="5">
        <v>28</v>
      </c>
      <c r="B1463" s="5" t="s">
        <v>35</v>
      </c>
      <c r="C1463" s="5">
        <f t="shared" si="22"/>
        <v>1</v>
      </c>
    </row>
    <row r="1464" spans="1:3" x14ac:dyDescent="0.3">
      <c r="A1464" s="5">
        <v>24</v>
      </c>
      <c r="B1464" s="5" t="s">
        <v>43</v>
      </c>
      <c r="C1464" s="5">
        <f t="shared" si="22"/>
        <v>0</v>
      </c>
    </row>
    <row r="1465" spans="1:3" x14ac:dyDescent="0.3">
      <c r="A1465" s="5">
        <v>5</v>
      </c>
      <c r="B1465" s="5" t="s">
        <v>43</v>
      </c>
      <c r="C1465" s="5">
        <f t="shared" si="22"/>
        <v>0</v>
      </c>
    </row>
    <row r="1466" spans="1:3" x14ac:dyDescent="0.3">
      <c r="A1466" s="5">
        <v>5</v>
      </c>
      <c r="B1466" s="5" t="s">
        <v>43</v>
      </c>
      <c r="C1466" s="5">
        <f t="shared" si="22"/>
        <v>0</v>
      </c>
    </row>
    <row r="1467" spans="1:3" x14ac:dyDescent="0.3">
      <c r="A1467" s="5">
        <v>23</v>
      </c>
      <c r="B1467" s="5" t="s">
        <v>43</v>
      </c>
      <c r="C1467" s="5">
        <f t="shared" si="22"/>
        <v>0</v>
      </c>
    </row>
    <row r="1468" spans="1:3" x14ac:dyDescent="0.3">
      <c r="A1468" s="5">
        <v>6</v>
      </c>
      <c r="B1468" s="5" t="s">
        <v>43</v>
      </c>
      <c r="C1468" s="5">
        <f t="shared" si="22"/>
        <v>0</v>
      </c>
    </row>
    <row r="1469" spans="1:3" x14ac:dyDescent="0.3">
      <c r="A1469" s="5">
        <v>4</v>
      </c>
      <c r="B1469" s="5" t="s">
        <v>43</v>
      </c>
      <c r="C1469" s="5">
        <f t="shared" si="22"/>
        <v>0</v>
      </c>
    </row>
    <row r="1470" spans="1:3" x14ac:dyDescent="0.3">
      <c r="A1470" s="5">
        <v>2</v>
      </c>
      <c r="B1470" s="5" t="s">
        <v>43</v>
      </c>
      <c r="C1470" s="5">
        <f t="shared" si="22"/>
        <v>0</v>
      </c>
    </row>
    <row r="1471" spans="1:3" x14ac:dyDescent="0.3">
      <c r="A1471" s="5">
        <v>8</v>
      </c>
      <c r="B1471" s="5" t="s">
        <v>43</v>
      </c>
      <c r="C1471" s="5">
        <f t="shared" si="22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E48B-2842-42CB-AA24-C257E522CCE7}">
  <dimension ref="A1:B4"/>
  <sheetViews>
    <sheetView workbookViewId="0">
      <selection activeCell="B19" sqref="B19"/>
    </sheetView>
  </sheetViews>
  <sheetFormatPr defaultRowHeight="14.4" x14ac:dyDescent="0.3"/>
  <cols>
    <col min="1" max="1" width="12.44140625" bestFit="1" customWidth="1"/>
    <col min="2" max="2" width="24.33203125" bestFit="1" customWidth="1"/>
  </cols>
  <sheetData>
    <row r="1" spans="1:2" x14ac:dyDescent="0.3">
      <c r="A1" s="1" t="s">
        <v>76</v>
      </c>
      <c r="B1" t="s">
        <v>77</v>
      </c>
    </row>
    <row r="2" spans="1:2" x14ac:dyDescent="0.3">
      <c r="A2" s="2">
        <v>3</v>
      </c>
      <c r="B2">
        <v>1244</v>
      </c>
    </row>
    <row r="3" spans="1:2" x14ac:dyDescent="0.3">
      <c r="A3" s="2">
        <v>4</v>
      </c>
      <c r="B3">
        <v>226</v>
      </c>
    </row>
    <row r="4" spans="1:2" x14ac:dyDescent="0.3">
      <c r="A4" s="2" t="s">
        <v>65</v>
      </c>
      <c r="B4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2F3A-FCBB-4622-B461-D38A01F17BB6}">
  <dimension ref="A1:B4"/>
  <sheetViews>
    <sheetView workbookViewId="0">
      <selection activeCell="F17" sqref="F17"/>
    </sheetView>
  </sheetViews>
  <sheetFormatPr defaultRowHeight="14.4" x14ac:dyDescent="0.3"/>
  <cols>
    <col min="1" max="1" width="14.88671875" bestFit="1" customWidth="1"/>
    <col min="2" max="2" width="21.77734375" bestFit="1" customWidth="1"/>
  </cols>
  <sheetData>
    <row r="1" spans="1:2" x14ac:dyDescent="0.3">
      <c r="A1" s="9" t="s">
        <v>88</v>
      </c>
      <c r="B1" s="9" t="s">
        <v>83</v>
      </c>
    </row>
    <row r="2" spans="1:2" x14ac:dyDescent="0.3">
      <c r="A2" s="5" t="s">
        <v>0</v>
      </c>
      <c r="B2" s="5">
        <f>CORREL('WA_Fn-UseC_-HR-Employee-Attriti'!A2:A1471,'WA_Fn-UseC_-HR-Employee-Attriti'!AQ2:AQ1471)</f>
        <v>-0.15920500686577846</v>
      </c>
    </row>
    <row r="3" spans="1:2" x14ac:dyDescent="0.3">
      <c r="A3" s="5" t="s">
        <v>18</v>
      </c>
      <c r="B3" s="5">
        <f>CORREL('WA_Fn-UseC_-HR-Employee-Attriti'!S2:S1471,'WA_Fn-UseC_-HR-Employee-Attriti'!AQ2:AQ1471)</f>
        <v>-0.15983958238498774</v>
      </c>
    </row>
    <row r="4" spans="1:2" x14ac:dyDescent="0.3">
      <c r="A4" s="5" t="s">
        <v>31</v>
      </c>
      <c r="B4" s="5">
        <f>CORREL('WA_Fn-UseC_-HR-Employee-Attriti'!U2:U1471,'WA_Fn-UseC_-HR-Employee-Attriti'!AQ2:AQ1471)</f>
        <v>4.349373905781375E-2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3825-E418-49D0-9DC6-9CCB81D5A2FC}">
  <dimension ref="A2:B21"/>
  <sheetViews>
    <sheetView workbookViewId="0">
      <selection activeCell="B24" sqref="B24"/>
    </sheetView>
  </sheetViews>
  <sheetFormatPr defaultRowHeight="14.4" x14ac:dyDescent="0.3"/>
  <cols>
    <col min="1" max="1" width="64.77734375" bestFit="1" customWidth="1"/>
    <col min="2" max="2" width="255.77734375" bestFit="1" customWidth="1"/>
  </cols>
  <sheetData>
    <row r="2" spans="1:2" ht="18" x14ac:dyDescent="0.35">
      <c r="A2" s="7" t="s">
        <v>84</v>
      </c>
      <c r="B2" s="8" t="s">
        <v>85</v>
      </c>
    </row>
    <row r="3" spans="1:2" ht="15.6" x14ac:dyDescent="0.3">
      <c r="A3" s="6" t="s">
        <v>86</v>
      </c>
      <c r="B3" s="6" t="s">
        <v>87</v>
      </c>
    </row>
    <row r="4" spans="1:2" ht="15.6" x14ac:dyDescent="0.3">
      <c r="A4" s="6"/>
      <c r="B4" s="6"/>
    </row>
    <row r="5" spans="1:2" ht="15.6" x14ac:dyDescent="0.3">
      <c r="A5" s="6" t="s">
        <v>91</v>
      </c>
      <c r="B5" s="6" t="s">
        <v>90</v>
      </c>
    </row>
    <row r="7" spans="1:2" ht="15.6" x14ac:dyDescent="0.3">
      <c r="A7" s="6" t="s">
        <v>107</v>
      </c>
      <c r="B7" s="6" t="s">
        <v>92</v>
      </c>
    </row>
    <row r="9" spans="1:2" ht="15.6" x14ac:dyDescent="0.3">
      <c r="A9" s="6" t="s">
        <v>94</v>
      </c>
      <c r="B9" s="6" t="s">
        <v>98</v>
      </c>
    </row>
    <row r="11" spans="1:2" ht="15.6" x14ac:dyDescent="0.3">
      <c r="A11" s="6" t="s">
        <v>96</v>
      </c>
      <c r="B11" s="6" t="s">
        <v>97</v>
      </c>
    </row>
    <row r="13" spans="1:2" ht="15.6" x14ac:dyDescent="0.3">
      <c r="A13" s="6" t="s">
        <v>99</v>
      </c>
      <c r="B13" s="6" t="s">
        <v>100</v>
      </c>
    </row>
    <row r="15" spans="1:2" ht="15.6" x14ac:dyDescent="0.3">
      <c r="A15" s="6" t="s">
        <v>103</v>
      </c>
      <c r="B15" s="6" t="s">
        <v>104</v>
      </c>
    </row>
    <row r="17" spans="1:2" ht="15.6" x14ac:dyDescent="0.3">
      <c r="A17" s="6" t="s">
        <v>105</v>
      </c>
      <c r="B17" s="6" t="s">
        <v>106</v>
      </c>
    </row>
    <row r="19" spans="1:2" ht="15.6" x14ac:dyDescent="0.3">
      <c r="A19" s="6" t="s">
        <v>108</v>
      </c>
      <c r="B19" s="6" t="s">
        <v>109</v>
      </c>
    </row>
    <row r="21" spans="1:2" ht="15.6" x14ac:dyDescent="0.3">
      <c r="A21" s="6" t="s">
        <v>110</v>
      </c>
      <c r="B21" s="6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1B4B-216C-40FB-8384-565433E3EF03}">
  <dimension ref="A1:B2"/>
  <sheetViews>
    <sheetView workbookViewId="0">
      <selection sqref="A1:B1"/>
    </sheetView>
  </sheetViews>
  <sheetFormatPr defaultRowHeight="14.4" x14ac:dyDescent="0.3"/>
  <cols>
    <col min="1" max="1" width="28.44140625" bestFit="1" customWidth="1"/>
  </cols>
  <sheetData>
    <row r="1" spans="1:2" ht="15.6" x14ac:dyDescent="0.3">
      <c r="A1" s="17" t="s">
        <v>78</v>
      </c>
      <c r="B1" s="17" t="s">
        <v>79</v>
      </c>
    </row>
    <row r="2" spans="1:2" x14ac:dyDescent="0.3">
      <c r="A2" s="5" t="s">
        <v>80</v>
      </c>
      <c r="B2" s="5">
        <f>COUNTIF('WA_Fn-UseC_-HR-Employee-Attriti'!W:W,"Yes")</f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E389-D289-4F1D-9020-F4AB5BC26E88}">
  <dimension ref="A1:B2"/>
  <sheetViews>
    <sheetView workbookViewId="0">
      <selection sqref="A1:B1"/>
    </sheetView>
  </sheetViews>
  <sheetFormatPr defaultRowHeight="14.4" x14ac:dyDescent="0.3"/>
  <cols>
    <col min="1" max="1" width="25.88671875" bestFit="1" customWidth="1"/>
  </cols>
  <sheetData>
    <row r="1" spans="1:2" ht="15.6" x14ac:dyDescent="0.3">
      <c r="A1" s="17" t="s">
        <v>82</v>
      </c>
      <c r="B1" s="17" t="s">
        <v>81</v>
      </c>
    </row>
    <row r="2" spans="1:2" x14ac:dyDescent="0.3">
      <c r="A2" s="5"/>
      <c r="B2" s="5">
        <f>AVERAGE('WA_Fn-UseC_-HR-Employee-Attriti'!AF:AF)</f>
        <v>7.0081632653061225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7203-9849-4278-9B19-189D80FEF786}">
  <dimension ref="A3:J9"/>
  <sheetViews>
    <sheetView workbookViewId="0">
      <selection activeCell="E25" sqref="E25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4" bestFit="1" customWidth="1"/>
    <col min="4" max="4" width="10.5546875" bestFit="1" customWidth="1"/>
    <col min="6" max="6" width="15.88671875" bestFit="1" customWidth="1"/>
    <col min="10" max="10" width="17.5546875" bestFit="1" customWidth="1"/>
  </cols>
  <sheetData>
    <row r="3" spans="1:10" ht="15.6" x14ac:dyDescent="0.3">
      <c r="A3" s="1" t="s">
        <v>67</v>
      </c>
      <c r="B3" s="1" t="s">
        <v>66</v>
      </c>
      <c r="F3" s="10" t="s">
        <v>13</v>
      </c>
      <c r="G3" s="10" t="s">
        <v>43</v>
      </c>
      <c r="H3" s="10" t="s">
        <v>35</v>
      </c>
      <c r="I3" s="10" t="s">
        <v>89</v>
      </c>
      <c r="J3" s="10" t="s">
        <v>69</v>
      </c>
    </row>
    <row r="4" spans="1:10" x14ac:dyDescent="0.3">
      <c r="A4" s="1" t="s">
        <v>76</v>
      </c>
      <c r="B4" t="s">
        <v>43</v>
      </c>
      <c r="C4" t="s">
        <v>35</v>
      </c>
      <c r="D4" t="s">
        <v>65</v>
      </c>
      <c r="F4" s="5">
        <v>1</v>
      </c>
      <c r="G4" s="5">
        <v>55</v>
      </c>
      <c r="H4" s="5">
        <v>28</v>
      </c>
      <c r="I4" s="5">
        <v>83</v>
      </c>
      <c r="J4" s="11">
        <f>H4/I4</f>
        <v>0.33734939759036142</v>
      </c>
    </row>
    <row r="5" spans="1:10" x14ac:dyDescent="0.3">
      <c r="A5" s="2">
        <v>1</v>
      </c>
      <c r="B5">
        <v>55</v>
      </c>
      <c r="C5">
        <v>28</v>
      </c>
      <c r="D5">
        <v>83</v>
      </c>
      <c r="F5" s="5">
        <v>2</v>
      </c>
      <c r="G5" s="5">
        <v>304</v>
      </c>
      <c r="H5" s="5">
        <v>71</v>
      </c>
      <c r="I5" s="5">
        <v>375</v>
      </c>
      <c r="J5" s="11">
        <f t="shared" ref="J5:J7" si="0">H5/I5</f>
        <v>0.18933333333333333</v>
      </c>
    </row>
    <row r="6" spans="1:10" x14ac:dyDescent="0.3">
      <c r="A6" s="2">
        <v>2</v>
      </c>
      <c r="B6">
        <v>304</v>
      </c>
      <c r="C6">
        <v>71</v>
      </c>
      <c r="D6">
        <v>375</v>
      </c>
      <c r="F6" s="5">
        <v>3</v>
      </c>
      <c r="G6" s="5">
        <v>743</v>
      </c>
      <c r="H6" s="5">
        <v>125</v>
      </c>
      <c r="I6" s="5">
        <v>868</v>
      </c>
      <c r="J6" s="11">
        <f t="shared" si="0"/>
        <v>0.14400921658986174</v>
      </c>
    </row>
    <row r="7" spans="1:10" x14ac:dyDescent="0.3">
      <c r="A7" s="2">
        <v>3</v>
      </c>
      <c r="B7">
        <v>743</v>
      </c>
      <c r="C7">
        <v>125</v>
      </c>
      <c r="D7">
        <v>868</v>
      </c>
      <c r="F7" s="5">
        <v>4</v>
      </c>
      <c r="G7" s="5">
        <v>131</v>
      </c>
      <c r="H7" s="5">
        <v>13</v>
      </c>
      <c r="I7" s="5">
        <v>144</v>
      </c>
      <c r="J7" s="11">
        <f t="shared" si="0"/>
        <v>9.0277777777777776E-2</v>
      </c>
    </row>
    <row r="8" spans="1:10" x14ac:dyDescent="0.3">
      <c r="A8" s="2">
        <v>4</v>
      </c>
      <c r="B8">
        <v>131</v>
      </c>
      <c r="C8">
        <v>13</v>
      </c>
      <c r="D8">
        <v>144</v>
      </c>
    </row>
    <row r="9" spans="1:10" x14ac:dyDescent="0.3">
      <c r="A9" s="2" t="s">
        <v>65</v>
      </c>
      <c r="B9">
        <v>1233</v>
      </c>
      <c r="C9">
        <v>237</v>
      </c>
      <c r="D9">
        <v>1470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EA52-59B1-405F-87FD-FD7B56AD955B}">
  <dimension ref="A3:F8"/>
  <sheetViews>
    <sheetView workbookViewId="0">
      <selection activeCell="D23" sqref="D23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4" bestFit="1" customWidth="1"/>
    <col min="4" max="4" width="10.5546875" bestFit="1" customWidth="1"/>
    <col min="5" max="5" width="12.5546875" bestFit="1" customWidth="1"/>
    <col min="6" max="6" width="14.44140625" bestFit="1" customWidth="1"/>
  </cols>
  <sheetData>
    <row r="3" spans="1:6" x14ac:dyDescent="0.3">
      <c r="A3" s="1" t="s">
        <v>67</v>
      </c>
      <c r="B3" s="1" t="s">
        <v>66</v>
      </c>
      <c r="E3" s="5"/>
      <c r="F3" s="5"/>
    </row>
    <row r="4" spans="1:6" x14ac:dyDescent="0.3">
      <c r="A4" s="1" t="s">
        <v>76</v>
      </c>
      <c r="B4" t="s">
        <v>43</v>
      </c>
      <c r="C4" t="s">
        <v>35</v>
      </c>
      <c r="D4" t="s">
        <v>65</v>
      </c>
      <c r="E4" s="14" t="s">
        <v>93</v>
      </c>
      <c r="F4" s="14" t="s">
        <v>69</v>
      </c>
    </row>
    <row r="5" spans="1:6" x14ac:dyDescent="0.3">
      <c r="A5" s="2" t="s">
        <v>52</v>
      </c>
      <c r="B5">
        <v>294</v>
      </c>
      <c r="C5">
        <v>33</v>
      </c>
      <c r="D5">
        <v>327</v>
      </c>
      <c r="E5" s="12" t="s">
        <v>52</v>
      </c>
      <c r="F5" s="13">
        <f>GETPIVOTDATA("Attrition",$A$3,"Attrition","Yes","MaritalStatus","Divorced")/GETPIVOTDATA("Attrition",$A$3,"MaritalStatus","Divorced")*100</f>
        <v>10.091743119266056</v>
      </c>
    </row>
    <row r="6" spans="1:6" x14ac:dyDescent="0.3">
      <c r="A6" s="2" t="s">
        <v>48</v>
      </c>
      <c r="B6">
        <v>589</v>
      </c>
      <c r="C6">
        <v>84</v>
      </c>
      <c r="D6">
        <v>673</v>
      </c>
      <c r="E6" s="12" t="s">
        <v>48</v>
      </c>
      <c r="F6" s="13">
        <f>GETPIVOTDATA("Attrition",$A$3,"Attrition","Yes","MaritalStatus","Married")/GETPIVOTDATA("Attrition",$A$3,"MaritalStatus","Married")*100</f>
        <v>12.481426448736999</v>
      </c>
    </row>
    <row r="7" spans="1:6" x14ac:dyDescent="0.3">
      <c r="A7" s="2" t="s">
        <v>41</v>
      </c>
      <c r="B7">
        <v>350</v>
      </c>
      <c r="C7">
        <v>120</v>
      </c>
      <c r="D7">
        <v>470</v>
      </c>
      <c r="E7" s="12" t="s">
        <v>41</v>
      </c>
      <c r="F7" s="13">
        <f>GETPIVOTDATA("Attrition",$A$3,"Attrition","Yes","MaritalStatus","Single")/GETPIVOTDATA("Attrition",$A$3,"MaritalStatus","Single")*100</f>
        <v>25.531914893617021</v>
      </c>
    </row>
    <row r="8" spans="1:6" x14ac:dyDescent="0.3">
      <c r="A8" s="2" t="s">
        <v>65</v>
      </c>
      <c r="B8">
        <v>1233</v>
      </c>
      <c r="C8">
        <v>237</v>
      </c>
      <c r="D8">
        <v>1470</v>
      </c>
      <c r="E8" s="5"/>
      <c r="F8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F14B-9D67-48C7-B5E1-F21BBA45F8B4}">
  <dimension ref="A3:H12"/>
  <sheetViews>
    <sheetView workbookViewId="0">
      <selection activeCell="F18" sqref="F18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4" bestFit="1" customWidth="1"/>
    <col min="4" max="4" width="10.5546875" bestFit="1" customWidth="1"/>
    <col min="6" max="6" width="12.44140625" bestFit="1" customWidth="1"/>
    <col min="7" max="7" width="15.33203125" bestFit="1" customWidth="1"/>
  </cols>
  <sheetData>
    <row r="3" spans="1:8" x14ac:dyDescent="0.3">
      <c r="A3" s="1" t="s">
        <v>67</v>
      </c>
      <c r="B3" s="1" t="s">
        <v>66</v>
      </c>
    </row>
    <row r="4" spans="1:8" x14ac:dyDescent="0.3">
      <c r="A4" s="1" t="s">
        <v>76</v>
      </c>
      <c r="B4" t="s">
        <v>43</v>
      </c>
      <c r="C4" t="s">
        <v>35</v>
      </c>
      <c r="D4" t="s">
        <v>65</v>
      </c>
      <c r="F4" s="14" t="s">
        <v>95</v>
      </c>
      <c r="G4" s="14" t="s">
        <v>69</v>
      </c>
      <c r="H4" s="16"/>
    </row>
    <row r="5" spans="1:8" x14ac:dyDescent="0.3">
      <c r="A5" s="2">
        <v>0</v>
      </c>
      <c r="B5">
        <v>39</v>
      </c>
      <c r="C5">
        <v>15</v>
      </c>
      <c r="D5">
        <v>54</v>
      </c>
      <c r="F5" s="5">
        <v>0</v>
      </c>
      <c r="G5" s="13">
        <f>GETPIVOTDATA("Attrition",$A$3,"Attrition","Yes","TrainingTimesLastYear",0)/GETPIVOTDATA("Attrition",$A$3,"TrainingTimesLastYear",0)*100</f>
        <v>27.777777777777779</v>
      </c>
      <c r="H5" s="16"/>
    </row>
    <row r="6" spans="1:8" x14ac:dyDescent="0.3">
      <c r="A6" s="2">
        <v>1</v>
      </c>
      <c r="B6">
        <v>62</v>
      </c>
      <c r="C6">
        <v>9</v>
      </c>
      <c r="D6">
        <v>71</v>
      </c>
      <c r="F6" s="5">
        <v>1</v>
      </c>
      <c r="G6" s="13">
        <f>GETPIVOTDATA("Attrition",$A$3,"Attrition","Yes","TrainingTimesLastYear",1)/GETPIVOTDATA("Attrition",$A$3,"TrainingTimesLastYear",1)*100</f>
        <v>12.676056338028168</v>
      </c>
    </row>
    <row r="7" spans="1:8" x14ac:dyDescent="0.3">
      <c r="A7" s="2">
        <v>2</v>
      </c>
      <c r="B7">
        <v>449</v>
      </c>
      <c r="C7">
        <v>98</v>
      </c>
      <c r="D7">
        <v>547</v>
      </c>
      <c r="F7" s="5">
        <v>2</v>
      </c>
      <c r="G7" s="13">
        <f>GETPIVOTDATA("Attrition",$A$3,"Attrition","Yes","TrainingTimesLastYear",2)/GETPIVOTDATA("Attrition",$A$3,"TrainingTimesLastYear",2)*100</f>
        <v>17.915904936014627</v>
      </c>
    </row>
    <row r="8" spans="1:8" x14ac:dyDescent="0.3">
      <c r="A8" s="2">
        <v>3</v>
      </c>
      <c r="B8">
        <v>422</v>
      </c>
      <c r="C8">
        <v>69</v>
      </c>
      <c r="D8">
        <v>491</v>
      </c>
      <c r="F8" s="5">
        <v>3</v>
      </c>
      <c r="G8" s="13">
        <f>GETPIVOTDATA("Attrition",$A$3,"Attrition","Yes","TrainingTimesLastYear",3)/GETPIVOTDATA("Attrition",$A$3,"TrainingTimesLastYear",3)*100</f>
        <v>14.052953156822811</v>
      </c>
    </row>
    <row r="9" spans="1:8" x14ac:dyDescent="0.3">
      <c r="A9" s="2">
        <v>4</v>
      </c>
      <c r="B9">
        <v>97</v>
      </c>
      <c r="C9">
        <v>26</v>
      </c>
      <c r="D9">
        <v>123</v>
      </c>
      <c r="F9" s="5">
        <v>4</v>
      </c>
      <c r="G9" s="13">
        <f>GETPIVOTDATA("Attrition",$A$3,"Attrition","Yes","TrainingTimesLastYear",4)/GETPIVOTDATA("Attrition",$A$3,"TrainingTimesLastYear",4)*100</f>
        <v>21.138211382113823</v>
      </c>
    </row>
    <row r="10" spans="1:8" x14ac:dyDescent="0.3">
      <c r="A10" s="2">
        <v>5</v>
      </c>
      <c r="B10">
        <v>105</v>
      </c>
      <c r="C10">
        <v>14</v>
      </c>
      <c r="D10">
        <v>119</v>
      </c>
      <c r="F10" s="5">
        <v>5</v>
      </c>
      <c r="G10" s="13">
        <f>GETPIVOTDATA("Attrition",$A$3,"Attrition","Yes","TrainingTimesLastYear",5)/GETPIVOTDATA("Attrition",$A$3,"TrainingTimesLastYear",5)*100</f>
        <v>11.76470588235294</v>
      </c>
    </row>
    <row r="11" spans="1:8" x14ac:dyDescent="0.3">
      <c r="A11" s="2">
        <v>6</v>
      </c>
      <c r="B11">
        <v>59</v>
      </c>
      <c r="C11">
        <v>6</v>
      </c>
      <c r="D11">
        <v>65</v>
      </c>
      <c r="F11" s="5">
        <v>6</v>
      </c>
      <c r="G11" s="13">
        <f>GETPIVOTDATA("Attrition",$A$3,"Attrition","Yes","TrainingTimesLastYear",6)/GETPIVOTDATA("Attrition",$A$3,"TrainingTimesLastYear",6)*100</f>
        <v>9.2307692307692317</v>
      </c>
    </row>
    <row r="12" spans="1:8" x14ac:dyDescent="0.3">
      <c r="A12" s="2" t="s">
        <v>65</v>
      </c>
      <c r="B12">
        <v>1233</v>
      </c>
      <c r="C12">
        <v>237</v>
      </c>
      <c r="D12">
        <v>1470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483C-2E20-467D-B191-34605D164FE8}">
  <dimension ref="A3:G9"/>
  <sheetViews>
    <sheetView workbookViewId="0">
      <selection activeCell="G13" sqref="G13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4" bestFit="1" customWidth="1"/>
    <col min="4" max="4" width="10.5546875" bestFit="1" customWidth="1"/>
    <col min="6" max="6" width="18.33203125" bestFit="1" customWidth="1"/>
    <col min="7" max="7" width="15.44140625" bestFit="1" customWidth="1"/>
  </cols>
  <sheetData>
    <row r="3" spans="1:7" x14ac:dyDescent="0.3">
      <c r="A3" s="1" t="s">
        <v>67</v>
      </c>
      <c r="B3" s="1" t="s">
        <v>66</v>
      </c>
    </row>
    <row r="4" spans="1:7" ht="15.6" x14ac:dyDescent="0.3">
      <c r="A4" s="1" t="s">
        <v>76</v>
      </c>
      <c r="B4" t="s">
        <v>43</v>
      </c>
      <c r="C4" t="s">
        <v>35</v>
      </c>
      <c r="D4" t="s">
        <v>65</v>
      </c>
      <c r="F4" s="17" t="s">
        <v>101</v>
      </c>
      <c r="G4" s="17" t="s">
        <v>102</v>
      </c>
    </row>
    <row r="5" spans="1:7" x14ac:dyDescent="0.3">
      <c r="A5" s="2">
        <v>0</v>
      </c>
      <c r="B5">
        <v>477</v>
      </c>
      <c r="C5">
        <v>154</v>
      </c>
      <c r="D5">
        <v>631</v>
      </c>
      <c r="F5" s="5">
        <v>0</v>
      </c>
      <c r="G5" s="13">
        <f>GETPIVOTDATA("Attrition",$A$3,"Attrition","Yes","StockOptionLevel",0)/GETPIVOTDATA("Attrition",$A$3,"StockOptionLevel",0)*100</f>
        <v>24.405705229793977</v>
      </c>
    </row>
    <row r="6" spans="1:7" x14ac:dyDescent="0.3">
      <c r="A6" s="2">
        <v>1</v>
      </c>
      <c r="B6">
        <v>540</v>
      </c>
      <c r="C6">
        <v>56</v>
      </c>
      <c r="D6">
        <v>596</v>
      </c>
      <c r="F6" s="5">
        <v>1</v>
      </c>
      <c r="G6" s="13">
        <f>GETPIVOTDATA("Attrition",$A$3,"Attrition","Yes","StockOptionLevel",1)/GETPIVOTDATA("Attrition",$A$3,"StockOptionLevel",1)*100</f>
        <v>9.3959731543624159</v>
      </c>
    </row>
    <row r="7" spans="1:7" x14ac:dyDescent="0.3">
      <c r="A7" s="2">
        <v>2</v>
      </c>
      <c r="B7">
        <v>146</v>
      </c>
      <c r="C7">
        <v>12</v>
      </c>
      <c r="D7">
        <v>158</v>
      </c>
      <c r="F7" s="5">
        <v>2</v>
      </c>
      <c r="G7" s="13">
        <f>GETPIVOTDATA("Attrition",$A$3,"Attrition","Yes","StockOptionLevel",2)/GETPIVOTDATA("Attrition",$A$3,"StockOptionLevel",2)*100</f>
        <v>7.59493670886076</v>
      </c>
    </row>
    <row r="8" spans="1:7" x14ac:dyDescent="0.3">
      <c r="A8" s="2">
        <v>3</v>
      </c>
      <c r="B8">
        <v>70</v>
      </c>
      <c r="C8">
        <v>15</v>
      </c>
      <c r="D8">
        <v>85</v>
      </c>
      <c r="F8" s="5">
        <v>3</v>
      </c>
      <c r="G8" s="13">
        <f>GETPIVOTDATA("Attrition",$A$3,"Attrition","Yes","StockOptionLevel",3)/GETPIVOTDATA("Attrition",$A$3,"StockOptionLevel",3)*100</f>
        <v>17.647058823529413</v>
      </c>
    </row>
    <row r="9" spans="1:7" x14ac:dyDescent="0.3">
      <c r="A9" s="2" t="s">
        <v>65</v>
      </c>
      <c r="B9">
        <v>1233</v>
      </c>
      <c r="C9">
        <v>237</v>
      </c>
      <c r="D9">
        <v>1470</v>
      </c>
      <c r="F9" s="5"/>
      <c r="G9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5B56-76F4-4D9F-8095-1F611F65DBA8}">
  <dimension ref="A3:B7"/>
  <sheetViews>
    <sheetView workbookViewId="0">
      <selection activeCell="B19" sqref="B19"/>
    </sheetView>
  </sheetViews>
  <sheetFormatPr defaultRowHeight="14.4" x14ac:dyDescent="0.3"/>
  <cols>
    <col min="1" max="1" width="15.109375" bestFit="1" customWidth="1"/>
    <col min="2" max="2" width="22.88671875" bestFit="1" customWidth="1"/>
  </cols>
  <sheetData>
    <row r="3" spans="1:2" x14ac:dyDescent="0.3">
      <c r="A3" s="1" t="s">
        <v>76</v>
      </c>
      <c r="B3" t="s">
        <v>71</v>
      </c>
    </row>
    <row r="4" spans="1:2" x14ac:dyDescent="0.3">
      <c r="A4" s="2" t="s">
        <v>55</v>
      </c>
      <c r="B4" s="15">
        <v>2.7933333333333334</v>
      </c>
    </row>
    <row r="5" spans="1:2" x14ac:dyDescent="0.3">
      <c r="A5" s="2" t="s">
        <v>44</v>
      </c>
      <c r="B5" s="15">
        <v>2.7906137184115525</v>
      </c>
    </row>
    <row r="6" spans="1:2" x14ac:dyDescent="0.3">
      <c r="A6" s="2" t="s">
        <v>36</v>
      </c>
      <c r="B6" s="15">
        <v>2.7027804410354745</v>
      </c>
    </row>
    <row r="7" spans="1:2" x14ac:dyDescent="0.3">
      <c r="A7" s="2" t="s">
        <v>65</v>
      </c>
      <c r="B7" s="15">
        <v>2.7285714285714286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500F-FAA2-4769-B713-DCD01D9EF6BE}">
  <dimension ref="A1:AQ1471"/>
  <sheetViews>
    <sheetView topLeftCell="AD6" workbookViewId="0">
      <selection activeCell="AJ23" sqref="AJ23"/>
    </sheetView>
  </sheetViews>
  <sheetFormatPr defaultRowHeight="14.4" x14ac:dyDescent="0.3"/>
  <cols>
    <col min="38" max="38" width="12.109375" bestFit="1" customWidth="1"/>
    <col min="39" max="39" width="14" bestFit="1" customWidth="1"/>
    <col min="40" max="40" width="13.6640625" bestFit="1" customWidth="1"/>
    <col min="42" max="42" width="23.44140625" bestFit="1" customWidth="1"/>
    <col min="43" max="43" width="12.6640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L1" t="s">
        <v>62</v>
      </c>
      <c r="AM1" t="s">
        <v>63</v>
      </c>
      <c r="AN1" t="s">
        <v>64</v>
      </c>
      <c r="AP1" t="s">
        <v>70</v>
      </c>
      <c r="AQ1" t="s">
        <v>75</v>
      </c>
    </row>
    <row r="2" spans="1:43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L2">
        <f>COUNTIF(B:B, "Yes")</f>
        <v>237</v>
      </c>
      <c r="AM2">
        <f>COUNTA(B:B)-1</f>
        <v>1470</v>
      </c>
      <c r="AN2">
        <f>AL2/AM2*100</f>
        <v>16.122448979591837</v>
      </c>
      <c r="AP2">
        <f>SUBTOTAL(1,A2:A1474)</f>
        <v>36.923809523809524</v>
      </c>
      <c r="AQ2">
        <f>IF(B2="Yes",1,0)</f>
        <v>1</v>
      </c>
    </row>
    <row r="3" spans="1:43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Q3">
        <f t="shared" ref="AQ3:AQ66" si="0">IF(B3="Yes",1,0)</f>
        <v>0</v>
      </c>
    </row>
    <row r="4" spans="1:43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Q4">
        <f t="shared" si="0"/>
        <v>1</v>
      </c>
    </row>
    <row r="5" spans="1:43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Q5">
        <f t="shared" si="0"/>
        <v>0</v>
      </c>
    </row>
    <row r="6" spans="1:43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Q6">
        <f t="shared" si="0"/>
        <v>0</v>
      </c>
    </row>
    <row r="7" spans="1:43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Q7">
        <f t="shared" si="0"/>
        <v>0</v>
      </c>
    </row>
    <row r="8" spans="1:43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Q8">
        <f t="shared" si="0"/>
        <v>0</v>
      </c>
    </row>
    <row r="9" spans="1:43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Q9">
        <f t="shared" si="0"/>
        <v>0</v>
      </c>
    </row>
    <row r="10" spans="1:43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Q10">
        <f t="shared" si="0"/>
        <v>0</v>
      </c>
    </row>
    <row r="11" spans="1:43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Q11">
        <f t="shared" si="0"/>
        <v>0</v>
      </c>
    </row>
    <row r="12" spans="1:43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Q12">
        <f t="shared" si="0"/>
        <v>0</v>
      </c>
    </row>
    <row r="13" spans="1:43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Q13">
        <f t="shared" si="0"/>
        <v>0</v>
      </c>
    </row>
    <row r="14" spans="1:43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Q14">
        <f t="shared" si="0"/>
        <v>0</v>
      </c>
    </row>
    <row r="15" spans="1:43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Q15">
        <f t="shared" si="0"/>
        <v>0</v>
      </c>
    </row>
    <row r="16" spans="1:43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Q16">
        <f t="shared" si="0"/>
        <v>1</v>
      </c>
    </row>
    <row r="17" spans="1:43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Q17">
        <f t="shared" si="0"/>
        <v>0</v>
      </c>
    </row>
    <row r="18" spans="1:43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Q18">
        <f t="shared" si="0"/>
        <v>0</v>
      </c>
    </row>
    <row r="19" spans="1:43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Q19">
        <f t="shared" si="0"/>
        <v>0</v>
      </c>
    </row>
    <row r="20" spans="1:43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Q20">
        <f t="shared" si="0"/>
        <v>0</v>
      </c>
    </row>
    <row r="21" spans="1:43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Q21">
        <f t="shared" si="0"/>
        <v>0</v>
      </c>
    </row>
    <row r="22" spans="1:43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Q22">
        <f t="shared" si="0"/>
        <v>0</v>
      </c>
    </row>
    <row r="23" spans="1:43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Q23">
        <f t="shared" si="0"/>
        <v>1</v>
      </c>
    </row>
    <row r="24" spans="1:43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Q24">
        <f t="shared" si="0"/>
        <v>0</v>
      </c>
    </row>
    <row r="25" spans="1:43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Q25">
        <f t="shared" si="0"/>
        <v>0</v>
      </c>
    </row>
    <row r="26" spans="1:43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Q26">
        <f t="shared" si="0"/>
        <v>1</v>
      </c>
    </row>
    <row r="27" spans="1:43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Q27">
        <f t="shared" si="0"/>
        <v>0</v>
      </c>
    </row>
    <row r="28" spans="1:43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Q28">
        <f t="shared" si="0"/>
        <v>1</v>
      </c>
    </row>
    <row r="29" spans="1:43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Q29">
        <f t="shared" si="0"/>
        <v>0</v>
      </c>
    </row>
    <row r="30" spans="1:43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Q30">
        <f t="shared" si="0"/>
        <v>0</v>
      </c>
    </row>
    <row r="31" spans="1:43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Q31">
        <f t="shared" si="0"/>
        <v>0</v>
      </c>
    </row>
    <row r="32" spans="1:43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Q32">
        <f t="shared" si="0"/>
        <v>0</v>
      </c>
    </row>
    <row r="33" spans="1:43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Q33">
        <f t="shared" si="0"/>
        <v>0</v>
      </c>
    </row>
    <row r="34" spans="1:43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Q34">
        <f t="shared" si="0"/>
        <v>0</v>
      </c>
    </row>
    <row r="35" spans="1:43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Q35">
        <f t="shared" si="0"/>
        <v>1</v>
      </c>
    </row>
    <row r="36" spans="1:43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Q36">
        <f t="shared" si="0"/>
        <v>1</v>
      </c>
    </row>
    <row r="37" spans="1:43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Q37">
        <f t="shared" si="0"/>
        <v>0</v>
      </c>
    </row>
    <row r="38" spans="1:43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Q38">
        <f t="shared" si="0"/>
        <v>1</v>
      </c>
    </row>
    <row r="39" spans="1:43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Q39">
        <f t="shared" si="0"/>
        <v>0</v>
      </c>
    </row>
    <row r="40" spans="1:43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Q40">
        <f t="shared" si="0"/>
        <v>0</v>
      </c>
    </row>
    <row r="41" spans="1:43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Q41">
        <f t="shared" si="0"/>
        <v>0</v>
      </c>
    </row>
    <row r="42" spans="1:43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Q42">
        <f t="shared" si="0"/>
        <v>0</v>
      </c>
    </row>
    <row r="43" spans="1:43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Q43">
        <f t="shared" si="0"/>
        <v>0</v>
      </c>
    </row>
    <row r="44" spans="1:43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Q44">
        <f t="shared" si="0"/>
        <v>1</v>
      </c>
    </row>
    <row r="45" spans="1:43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Q45">
        <f t="shared" si="0"/>
        <v>0</v>
      </c>
    </row>
    <row r="46" spans="1:43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Q46">
        <f t="shared" si="0"/>
        <v>0</v>
      </c>
    </row>
    <row r="47" spans="1:43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Q47">
        <f t="shared" si="0"/>
        <v>1</v>
      </c>
    </row>
    <row r="48" spans="1:43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Q48">
        <f t="shared" si="0"/>
        <v>0</v>
      </c>
    </row>
    <row r="49" spans="1:43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Q49">
        <f t="shared" si="0"/>
        <v>0</v>
      </c>
    </row>
    <row r="50" spans="1:43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Q50">
        <f t="shared" si="0"/>
        <v>0</v>
      </c>
    </row>
    <row r="51" spans="1:43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Q51">
        <f t="shared" si="0"/>
        <v>0</v>
      </c>
    </row>
    <row r="52" spans="1:43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Q52">
        <f t="shared" si="0"/>
        <v>1</v>
      </c>
    </row>
    <row r="53" spans="1:43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Q53">
        <f t="shared" si="0"/>
        <v>1</v>
      </c>
    </row>
    <row r="54" spans="1:43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Q54">
        <f t="shared" si="0"/>
        <v>0</v>
      </c>
    </row>
    <row r="55" spans="1:43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Q55">
        <f t="shared" si="0"/>
        <v>0</v>
      </c>
    </row>
    <row r="56" spans="1:43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Q56">
        <f t="shared" si="0"/>
        <v>0</v>
      </c>
    </row>
    <row r="57" spans="1:43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Q57">
        <f t="shared" si="0"/>
        <v>0</v>
      </c>
    </row>
    <row r="58" spans="1:43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Q58">
        <f t="shared" si="0"/>
        <v>0</v>
      </c>
    </row>
    <row r="59" spans="1:43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Q59">
        <f t="shared" si="0"/>
        <v>0</v>
      </c>
    </row>
    <row r="60" spans="1:43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Q60">
        <f t="shared" si="0"/>
        <v>0</v>
      </c>
    </row>
    <row r="61" spans="1:43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Q61">
        <f t="shared" si="0"/>
        <v>0</v>
      </c>
    </row>
    <row r="62" spans="1:43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Q62">
        <f t="shared" si="0"/>
        <v>0</v>
      </c>
    </row>
    <row r="63" spans="1:43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Q63">
        <f t="shared" si="0"/>
        <v>0</v>
      </c>
    </row>
    <row r="64" spans="1:43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Q64">
        <f t="shared" si="0"/>
        <v>0</v>
      </c>
    </row>
    <row r="65" spans="1:43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Q65">
        <f t="shared" si="0"/>
        <v>0</v>
      </c>
    </row>
    <row r="66" spans="1:43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Q66">
        <f t="shared" si="0"/>
        <v>0</v>
      </c>
    </row>
    <row r="67" spans="1:43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Q67">
        <f t="shared" ref="AQ67:AQ130" si="1">IF(B67="Yes",1,0)</f>
        <v>0</v>
      </c>
    </row>
    <row r="68" spans="1:43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Q68">
        <f t="shared" si="1"/>
        <v>0</v>
      </c>
    </row>
    <row r="69" spans="1:43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Q69">
        <f t="shared" si="1"/>
        <v>0</v>
      </c>
    </row>
    <row r="70" spans="1:43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Q70">
        <f t="shared" si="1"/>
        <v>0</v>
      </c>
    </row>
    <row r="71" spans="1:43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Q71">
        <f t="shared" si="1"/>
        <v>1</v>
      </c>
    </row>
    <row r="72" spans="1:43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Q72">
        <f t="shared" si="1"/>
        <v>0</v>
      </c>
    </row>
    <row r="73" spans="1:43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Q73">
        <f t="shared" si="1"/>
        <v>0</v>
      </c>
    </row>
    <row r="74" spans="1:43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Q74">
        <f t="shared" si="1"/>
        <v>0</v>
      </c>
    </row>
    <row r="75" spans="1:43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Q75">
        <f t="shared" si="1"/>
        <v>0</v>
      </c>
    </row>
    <row r="76" spans="1:43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Q76">
        <f t="shared" si="1"/>
        <v>0</v>
      </c>
    </row>
    <row r="77" spans="1:43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Q77">
        <f t="shared" si="1"/>
        <v>0</v>
      </c>
    </row>
    <row r="78" spans="1:43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Q78">
        <f t="shared" si="1"/>
        <v>0</v>
      </c>
    </row>
    <row r="79" spans="1:43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Q79">
        <f t="shared" si="1"/>
        <v>0</v>
      </c>
    </row>
    <row r="80" spans="1:43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Q80">
        <f t="shared" si="1"/>
        <v>0</v>
      </c>
    </row>
    <row r="81" spans="1:43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Q81">
        <f t="shared" si="1"/>
        <v>0</v>
      </c>
    </row>
    <row r="82" spans="1:43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Q82">
        <f t="shared" si="1"/>
        <v>0</v>
      </c>
    </row>
    <row r="83" spans="1:43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Q83">
        <f t="shared" si="1"/>
        <v>0</v>
      </c>
    </row>
    <row r="84" spans="1:43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Q84">
        <f t="shared" si="1"/>
        <v>0</v>
      </c>
    </row>
    <row r="85" spans="1:43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Q85">
        <f t="shared" si="1"/>
        <v>0</v>
      </c>
    </row>
    <row r="86" spans="1:43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Q86">
        <f t="shared" si="1"/>
        <v>0</v>
      </c>
    </row>
    <row r="87" spans="1:43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Q87">
        <f t="shared" si="1"/>
        <v>0</v>
      </c>
    </row>
    <row r="88" spans="1:43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Q88">
        <f t="shared" si="1"/>
        <v>0</v>
      </c>
    </row>
    <row r="89" spans="1:43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Q89">
        <f t="shared" si="1"/>
        <v>0</v>
      </c>
    </row>
    <row r="90" spans="1:43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Q90">
        <f t="shared" si="1"/>
        <v>0</v>
      </c>
    </row>
    <row r="91" spans="1:43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Q91">
        <f t="shared" si="1"/>
        <v>1</v>
      </c>
    </row>
    <row r="92" spans="1:43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Q92">
        <f t="shared" si="1"/>
        <v>0</v>
      </c>
    </row>
    <row r="93" spans="1:43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Q93">
        <f t="shared" si="1"/>
        <v>0</v>
      </c>
    </row>
    <row r="94" spans="1:43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Q94">
        <f t="shared" si="1"/>
        <v>0</v>
      </c>
    </row>
    <row r="95" spans="1:43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Q95">
        <f t="shared" si="1"/>
        <v>0</v>
      </c>
    </row>
    <row r="96" spans="1:43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Q96">
        <f t="shared" si="1"/>
        <v>0</v>
      </c>
    </row>
    <row r="97" spans="1:43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Q97">
        <f t="shared" si="1"/>
        <v>0</v>
      </c>
    </row>
    <row r="98" spans="1:43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Q98">
        <f t="shared" si="1"/>
        <v>0</v>
      </c>
    </row>
    <row r="99" spans="1:43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Q99">
        <f t="shared" si="1"/>
        <v>0</v>
      </c>
    </row>
    <row r="100" spans="1:43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Q100">
        <f t="shared" si="1"/>
        <v>0</v>
      </c>
    </row>
    <row r="101" spans="1:43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Q101">
        <f t="shared" si="1"/>
        <v>0</v>
      </c>
    </row>
    <row r="102" spans="1:43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Q102">
        <f t="shared" si="1"/>
        <v>1</v>
      </c>
    </row>
    <row r="103" spans="1:43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Q103">
        <f t="shared" si="1"/>
        <v>0</v>
      </c>
    </row>
    <row r="104" spans="1:43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Q104">
        <f t="shared" si="1"/>
        <v>1</v>
      </c>
    </row>
    <row r="105" spans="1:43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Q105">
        <f t="shared" si="1"/>
        <v>0</v>
      </c>
    </row>
    <row r="106" spans="1:43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Q106">
        <f t="shared" si="1"/>
        <v>0</v>
      </c>
    </row>
    <row r="107" spans="1:43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Q107">
        <f t="shared" si="1"/>
        <v>0</v>
      </c>
    </row>
    <row r="108" spans="1:43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Q108">
        <f t="shared" si="1"/>
        <v>0</v>
      </c>
    </row>
    <row r="109" spans="1:43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Q109">
        <f t="shared" si="1"/>
        <v>1</v>
      </c>
    </row>
    <row r="110" spans="1:43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Q110">
        <f t="shared" si="1"/>
        <v>0</v>
      </c>
    </row>
    <row r="111" spans="1:43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Q111">
        <f t="shared" si="1"/>
        <v>0</v>
      </c>
    </row>
    <row r="112" spans="1:43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Q112">
        <f t="shared" si="1"/>
        <v>0</v>
      </c>
    </row>
    <row r="113" spans="1:43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Q113">
        <f t="shared" si="1"/>
        <v>1</v>
      </c>
    </row>
    <row r="114" spans="1:43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Q114">
        <f t="shared" si="1"/>
        <v>0</v>
      </c>
    </row>
    <row r="115" spans="1:43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Q115">
        <f t="shared" si="1"/>
        <v>0</v>
      </c>
    </row>
    <row r="116" spans="1:43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Q116">
        <f t="shared" si="1"/>
        <v>0</v>
      </c>
    </row>
    <row r="117" spans="1:43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Q117">
        <f t="shared" si="1"/>
        <v>0</v>
      </c>
    </row>
    <row r="118" spans="1:43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Q118">
        <f t="shared" si="1"/>
        <v>0</v>
      </c>
    </row>
    <row r="119" spans="1:43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Q119">
        <f t="shared" si="1"/>
        <v>0</v>
      </c>
    </row>
    <row r="120" spans="1:43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Q120">
        <f t="shared" si="1"/>
        <v>0</v>
      </c>
    </row>
    <row r="121" spans="1:43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Q121">
        <f t="shared" si="1"/>
        <v>0</v>
      </c>
    </row>
    <row r="122" spans="1:43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Q122">
        <f t="shared" si="1"/>
        <v>0</v>
      </c>
    </row>
    <row r="123" spans="1:43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Q123">
        <f t="shared" si="1"/>
        <v>0</v>
      </c>
    </row>
    <row r="124" spans="1:43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Q124">
        <f t="shared" si="1"/>
        <v>1</v>
      </c>
    </row>
    <row r="125" spans="1:43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Q125">
        <f t="shared" si="1"/>
        <v>0</v>
      </c>
    </row>
    <row r="126" spans="1:43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Q126">
        <f t="shared" si="1"/>
        <v>1</v>
      </c>
    </row>
    <row r="127" spans="1:43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Q127">
        <f t="shared" si="1"/>
        <v>0</v>
      </c>
    </row>
    <row r="128" spans="1:43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Q128">
        <f t="shared" si="1"/>
        <v>1</v>
      </c>
    </row>
    <row r="129" spans="1:43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Q129">
        <f t="shared" si="1"/>
        <v>1</v>
      </c>
    </row>
    <row r="130" spans="1:43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Q130">
        <f t="shared" si="1"/>
        <v>0</v>
      </c>
    </row>
    <row r="131" spans="1:43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Q131">
        <f t="shared" ref="AQ131:AQ194" si="2">IF(B131="Yes",1,0)</f>
        <v>0</v>
      </c>
    </row>
    <row r="132" spans="1:43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Q132">
        <f t="shared" si="2"/>
        <v>0</v>
      </c>
    </row>
    <row r="133" spans="1:43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Q133">
        <f t="shared" si="2"/>
        <v>0</v>
      </c>
    </row>
    <row r="134" spans="1:43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Q134">
        <f t="shared" si="2"/>
        <v>1</v>
      </c>
    </row>
    <row r="135" spans="1:43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Q135">
        <f t="shared" si="2"/>
        <v>0</v>
      </c>
    </row>
    <row r="136" spans="1:43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Q136">
        <f t="shared" si="2"/>
        <v>0</v>
      </c>
    </row>
    <row r="137" spans="1:43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Q137">
        <f t="shared" si="2"/>
        <v>0</v>
      </c>
    </row>
    <row r="138" spans="1:43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Q138">
        <f t="shared" si="2"/>
        <v>1</v>
      </c>
    </row>
    <row r="139" spans="1:43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Q139">
        <f t="shared" si="2"/>
        <v>0</v>
      </c>
    </row>
    <row r="140" spans="1:43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Q140">
        <f t="shared" si="2"/>
        <v>0</v>
      </c>
    </row>
    <row r="141" spans="1:43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Q141">
        <f t="shared" si="2"/>
        <v>0</v>
      </c>
    </row>
    <row r="142" spans="1:43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Q142">
        <f t="shared" si="2"/>
        <v>1</v>
      </c>
    </row>
    <row r="143" spans="1:43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Q143">
        <f t="shared" si="2"/>
        <v>0</v>
      </c>
    </row>
    <row r="144" spans="1:43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Q144">
        <f t="shared" si="2"/>
        <v>0</v>
      </c>
    </row>
    <row r="145" spans="1:43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Q145">
        <f t="shared" si="2"/>
        <v>0</v>
      </c>
    </row>
    <row r="146" spans="1:43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Q146">
        <f t="shared" si="2"/>
        <v>0</v>
      </c>
    </row>
    <row r="147" spans="1:43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Q147">
        <f t="shared" si="2"/>
        <v>0</v>
      </c>
    </row>
    <row r="148" spans="1:43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Q148">
        <f t="shared" si="2"/>
        <v>0</v>
      </c>
    </row>
    <row r="149" spans="1:43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Q149">
        <f t="shared" si="2"/>
        <v>0</v>
      </c>
    </row>
    <row r="150" spans="1:43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Q150">
        <f t="shared" si="2"/>
        <v>0</v>
      </c>
    </row>
    <row r="151" spans="1:43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Q151">
        <f t="shared" si="2"/>
        <v>0</v>
      </c>
    </row>
    <row r="152" spans="1:43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Q152">
        <f t="shared" si="2"/>
        <v>0</v>
      </c>
    </row>
    <row r="153" spans="1:43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Q153">
        <f t="shared" si="2"/>
        <v>0</v>
      </c>
    </row>
    <row r="154" spans="1:43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Q154">
        <f t="shared" si="2"/>
        <v>0</v>
      </c>
    </row>
    <row r="155" spans="1:43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Q155">
        <f t="shared" si="2"/>
        <v>0</v>
      </c>
    </row>
    <row r="156" spans="1:43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Q156">
        <f t="shared" si="2"/>
        <v>0</v>
      </c>
    </row>
    <row r="157" spans="1:43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Q157">
        <f t="shared" si="2"/>
        <v>0</v>
      </c>
    </row>
    <row r="158" spans="1:43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Q158">
        <f t="shared" si="2"/>
        <v>0</v>
      </c>
    </row>
    <row r="159" spans="1:43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Q159">
        <f t="shared" si="2"/>
        <v>0</v>
      </c>
    </row>
    <row r="160" spans="1:43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Q160">
        <f t="shared" si="2"/>
        <v>0</v>
      </c>
    </row>
    <row r="161" spans="1:43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Q161">
        <f t="shared" si="2"/>
        <v>0</v>
      </c>
    </row>
    <row r="162" spans="1:43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Q162">
        <f t="shared" si="2"/>
        <v>0</v>
      </c>
    </row>
    <row r="163" spans="1:43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Q163">
        <f t="shared" si="2"/>
        <v>0</v>
      </c>
    </row>
    <row r="164" spans="1:43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Q164">
        <f t="shared" si="2"/>
        <v>0</v>
      </c>
    </row>
    <row r="165" spans="1:43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Q165">
        <f t="shared" si="2"/>
        <v>0</v>
      </c>
    </row>
    <row r="166" spans="1:43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Q166">
        <f t="shared" si="2"/>
        <v>0</v>
      </c>
    </row>
    <row r="167" spans="1:43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Q167">
        <f t="shared" si="2"/>
        <v>0</v>
      </c>
    </row>
    <row r="168" spans="1:43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Q168">
        <f t="shared" si="2"/>
        <v>0</v>
      </c>
    </row>
    <row r="169" spans="1:43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Q169">
        <f t="shared" si="2"/>
        <v>0</v>
      </c>
    </row>
    <row r="170" spans="1:43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Q170">
        <f t="shared" si="2"/>
        <v>0</v>
      </c>
    </row>
    <row r="171" spans="1:43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Q171">
        <f t="shared" si="2"/>
        <v>0</v>
      </c>
    </row>
    <row r="172" spans="1:43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Q172">
        <f t="shared" si="2"/>
        <v>0</v>
      </c>
    </row>
    <row r="173" spans="1:43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Q173">
        <f t="shared" si="2"/>
        <v>1</v>
      </c>
    </row>
    <row r="174" spans="1:43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Q174">
        <f t="shared" si="2"/>
        <v>0</v>
      </c>
    </row>
    <row r="175" spans="1:43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Q175">
        <f t="shared" si="2"/>
        <v>0</v>
      </c>
    </row>
    <row r="176" spans="1:43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Q176">
        <f t="shared" si="2"/>
        <v>0</v>
      </c>
    </row>
    <row r="177" spans="1:43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Q177">
        <f t="shared" si="2"/>
        <v>0</v>
      </c>
    </row>
    <row r="178" spans="1:43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Q178">
        <f t="shared" si="2"/>
        <v>0</v>
      </c>
    </row>
    <row r="179" spans="1:43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Q179">
        <f t="shared" si="2"/>
        <v>1</v>
      </c>
    </row>
    <row r="180" spans="1:43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Q180">
        <f t="shared" si="2"/>
        <v>0</v>
      </c>
    </row>
    <row r="181" spans="1:43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Q181">
        <f t="shared" si="2"/>
        <v>0</v>
      </c>
    </row>
    <row r="182" spans="1:43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Q182">
        <f t="shared" si="2"/>
        <v>0</v>
      </c>
    </row>
    <row r="183" spans="1:43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Q183">
        <f t="shared" si="2"/>
        <v>0</v>
      </c>
    </row>
    <row r="184" spans="1:43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Q184">
        <f t="shared" si="2"/>
        <v>1</v>
      </c>
    </row>
    <row r="185" spans="1:43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Q185">
        <f t="shared" si="2"/>
        <v>0</v>
      </c>
    </row>
    <row r="186" spans="1:43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Q186">
        <f t="shared" si="2"/>
        <v>0</v>
      </c>
    </row>
    <row r="187" spans="1:43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Q187">
        <f t="shared" si="2"/>
        <v>0</v>
      </c>
    </row>
    <row r="188" spans="1:43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Q188">
        <f t="shared" si="2"/>
        <v>0</v>
      </c>
    </row>
    <row r="189" spans="1:43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Q189">
        <f t="shared" si="2"/>
        <v>0</v>
      </c>
    </row>
    <row r="190" spans="1:43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Q190">
        <f t="shared" si="2"/>
        <v>0</v>
      </c>
    </row>
    <row r="191" spans="1:43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Q191">
        <f t="shared" si="2"/>
        <v>0</v>
      </c>
    </row>
    <row r="192" spans="1:43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Q192">
        <f t="shared" si="2"/>
        <v>0</v>
      </c>
    </row>
    <row r="193" spans="1:43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Q193">
        <f t="shared" si="2"/>
        <v>0</v>
      </c>
    </row>
    <row r="194" spans="1:43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Q194">
        <f t="shared" si="2"/>
        <v>1</v>
      </c>
    </row>
    <row r="195" spans="1:43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Q195">
        <f t="shared" ref="AQ195:AQ258" si="3">IF(B195="Yes",1,0)</f>
        <v>0</v>
      </c>
    </row>
    <row r="196" spans="1:43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Q196">
        <f t="shared" si="3"/>
        <v>0</v>
      </c>
    </row>
    <row r="197" spans="1:43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Q197">
        <f t="shared" si="3"/>
        <v>0</v>
      </c>
    </row>
    <row r="198" spans="1:43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Q198">
        <f t="shared" si="3"/>
        <v>0</v>
      </c>
    </row>
    <row r="199" spans="1:43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Q199">
        <f t="shared" si="3"/>
        <v>0</v>
      </c>
    </row>
    <row r="200" spans="1:43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Q200">
        <f t="shared" si="3"/>
        <v>0</v>
      </c>
    </row>
    <row r="201" spans="1:43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Q201">
        <f t="shared" si="3"/>
        <v>0</v>
      </c>
    </row>
    <row r="202" spans="1:43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Q202">
        <f t="shared" si="3"/>
        <v>0</v>
      </c>
    </row>
    <row r="203" spans="1:43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Q203">
        <f t="shared" si="3"/>
        <v>0</v>
      </c>
    </row>
    <row r="204" spans="1:43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Q204">
        <f t="shared" si="3"/>
        <v>0</v>
      </c>
    </row>
    <row r="205" spans="1:43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Q205">
        <f t="shared" si="3"/>
        <v>0</v>
      </c>
    </row>
    <row r="206" spans="1:43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Q206">
        <f t="shared" si="3"/>
        <v>1</v>
      </c>
    </row>
    <row r="207" spans="1:43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Q207">
        <f t="shared" si="3"/>
        <v>1</v>
      </c>
    </row>
    <row r="208" spans="1:43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Q208">
        <f t="shared" si="3"/>
        <v>0</v>
      </c>
    </row>
    <row r="209" spans="1:43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Q209">
        <f t="shared" si="3"/>
        <v>0</v>
      </c>
    </row>
    <row r="210" spans="1:43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Q210">
        <f t="shared" si="3"/>
        <v>0</v>
      </c>
    </row>
    <row r="211" spans="1:43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Q211">
        <f t="shared" si="3"/>
        <v>0</v>
      </c>
    </row>
    <row r="212" spans="1:43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Q212">
        <f t="shared" si="3"/>
        <v>1</v>
      </c>
    </row>
    <row r="213" spans="1:43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Q213">
        <f t="shared" si="3"/>
        <v>0</v>
      </c>
    </row>
    <row r="214" spans="1:43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Q214">
        <f t="shared" si="3"/>
        <v>0</v>
      </c>
    </row>
    <row r="215" spans="1:43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Q215">
        <f t="shared" si="3"/>
        <v>0</v>
      </c>
    </row>
    <row r="216" spans="1:43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Q216">
        <f t="shared" si="3"/>
        <v>1</v>
      </c>
    </row>
    <row r="217" spans="1:43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Q217">
        <f t="shared" si="3"/>
        <v>0</v>
      </c>
    </row>
    <row r="218" spans="1:43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Q218">
        <f t="shared" si="3"/>
        <v>1</v>
      </c>
    </row>
    <row r="219" spans="1:43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Q219">
        <f t="shared" si="3"/>
        <v>1</v>
      </c>
    </row>
    <row r="220" spans="1:43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Q220">
        <f t="shared" si="3"/>
        <v>0</v>
      </c>
    </row>
    <row r="221" spans="1:43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Q221">
        <f t="shared" si="3"/>
        <v>0</v>
      </c>
    </row>
    <row r="222" spans="1:43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Q222">
        <f t="shared" si="3"/>
        <v>0</v>
      </c>
    </row>
    <row r="223" spans="1:43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Q223">
        <f t="shared" si="3"/>
        <v>0</v>
      </c>
    </row>
    <row r="224" spans="1:43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Q224">
        <f t="shared" si="3"/>
        <v>0</v>
      </c>
    </row>
    <row r="225" spans="1:43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Q225">
        <f t="shared" si="3"/>
        <v>0</v>
      </c>
    </row>
    <row r="226" spans="1:43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Q226">
        <f t="shared" si="3"/>
        <v>0</v>
      </c>
    </row>
    <row r="227" spans="1:43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Q227">
        <f t="shared" si="3"/>
        <v>0</v>
      </c>
    </row>
    <row r="228" spans="1:43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Q228">
        <f t="shared" si="3"/>
        <v>0</v>
      </c>
    </row>
    <row r="229" spans="1:43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Q229">
        <f t="shared" si="3"/>
        <v>0</v>
      </c>
    </row>
    <row r="230" spans="1:43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Q230">
        <f t="shared" si="3"/>
        <v>0</v>
      </c>
    </row>
    <row r="231" spans="1:43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Q231">
        <f t="shared" si="3"/>
        <v>1</v>
      </c>
    </row>
    <row r="232" spans="1:43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Q232">
        <f t="shared" si="3"/>
        <v>0</v>
      </c>
    </row>
    <row r="233" spans="1:43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Q233">
        <f t="shared" si="3"/>
        <v>0</v>
      </c>
    </row>
    <row r="234" spans="1:43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Q234">
        <f t="shared" si="3"/>
        <v>0</v>
      </c>
    </row>
    <row r="235" spans="1:43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Q235">
        <f t="shared" si="3"/>
        <v>0</v>
      </c>
    </row>
    <row r="236" spans="1:43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Q236">
        <f t="shared" si="3"/>
        <v>1</v>
      </c>
    </row>
    <row r="237" spans="1:43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Q237">
        <f t="shared" si="3"/>
        <v>0</v>
      </c>
    </row>
    <row r="238" spans="1:43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Q238">
        <f t="shared" si="3"/>
        <v>1</v>
      </c>
    </row>
    <row r="239" spans="1:43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Q239">
        <f t="shared" si="3"/>
        <v>0</v>
      </c>
    </row>
    <row r="240" spans="1:43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Q240">
        <f t="shared" si="3"/>
        <v>0</v>
      </c>
    </row>
    <row r="241" spans="1:43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Q241">
        <f t="shared" si="3"/>
        <v>1</v>
      </c>
    </row>
    <row r="242" spans="1:43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Q242">
        <f t="shared" si="3"/>
        <v>0</v>
      </c>
    </row>
    <row r="243" spans="1:43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Q243">
        <f t="shared" si="3"/>
        <v>0</v>
      </c>
    </row>
    <row r="244" spans="1:43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Q244">
        <f t="shared" si="3"/>
        <v>0</v>
      </c>
    </row>
    <row r="245" spans="1:43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Q245">
        <f t="shared" si="3"/>
        <v>0</v>
      </c>
    </row>
    <row r="246" spans="1:43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Q246">
        <f t="shared" si="3"/>
        <v>0</v>
      </c>
    </row>
    <row r="247" spans="1:43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Q247">
        <f t="shared" si="3"/>
        <v>0</v>
      </c>
    </row>
    <row r="248" spans="1:43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Q248">
        <f t="shared" si="3"/>
        <v>0</v>
      </c>
    </row>
    <row r="249" spans="1:43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Q249">
        <f t="shared" si="3"/>
        <v>0</v>
      </c>
    </row>
    <row r="250" spans="1:43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Q250">
        <f t="shared" si="3"/>
        <v>0</v>
      </c>
    </row>
    <row r="251" spans="1:43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Q251">
        <f t="shared" si="3"/>
        <v>0</v>
      </c>
    </row>
    <row r="252" spans="1:43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Q252">
        <f t="shared" si="3"/>
        <v>1</v>
      </c>
    </row>
    <row r="253" spans="1:43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Q253">
        <f t="shared" si="3"/>
        <v>0</v>
      </c>
    </row>
    <row r="254" spans="1:43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Q254">
        <f t="shared" si="3"/>
        <v>0</v>
      </c>
    </row>
    <row r="255" spans="1:43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Q255">
        <f t="shared" si="3"/>
        <v>0</v>
      </c>
    </row>
    <row r="256" spans="1:43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Q256">
        <f t="shared" si="3"/>
        <v>0</v>
      </c>
    </row>
    <row r="257" spans="1:43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Q257">
        <f t="shared" si="3"/>
        <v>0</v>
      </c>
    </row>
    <row r="258" spans="1:43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Q258">
        <f t="shared" si="3"/>
        <v>0</v>
      </c>
    </row>
    <row r="259" spans="1:43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Q259">
        <f t="shared" ref="AQ259:AQ322" si="4">IF(B259="Yes",1,0)</f>
        <v>0</v>
      </c>
    </row>
    <row r="260" spans="1:43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Q260">
        <f t="shared" si="4"/>
        <v>0</v>
      </c>
    </row>
    <row r="261" spans="1:43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Q261">
        <f t="shared" si="4"/>
        <v>1</v>
      </c>
    </row>
    <row r="262" spans="1:43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Q262">
        <f t="shared" si="4"/>
        <v>0</v>
      </c>
    </row>
    <row r="263" spans="1:43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Q263">
        <f t="shared" si="4"/>
        <v>0</v>
      </c>
    </row>
    <row r="264" spans="1:43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Q264">
        <f t="shared" si="4"/>
        <v>0</v>
      </c>
    </row>
    <row r="265" spans="1:43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Q265">
        <f t="shared" si="4"/>
        <v>0</v>
      </c>
    </row>
    <row r="266" spans="1:43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Q266">
        <f t="shared" si="4"/>
        <v>1</v>
      </c>
    </row>
    <row r="267" spans="1:43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Q267">
        <f t="shared" si="4"/>
        <v>0</v>
      </c>
    </row>
    <row r="268" spans="1:43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Q268">
        <f t="shared" si="4"/>
        <v>0</v>
      </c>
    </row>
    <row r="269" spans="1:43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Q269">
        <f t="shared" si="4"/>
        <v>0</v>
      </c>
    </row>
    <row r="270" spans="1:43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Q270">
        <f t="shared" si="4"/>
        <v>0</v>
      </c>
    </row>
    <row r="271" spans="1:43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Q271">
        <f t="shared" si="4"/>
        <v>0</v>
      </c>
    </row>
    <row r="272" spans="1:43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Q272">
        <f t="shared" si="4"/>
        <v>0</v>
      </c>
    </row>
    <row r="273" spans="1:43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Q273">
        <f t="shared" si="4"/>
        <v>1</v>
      </c>
    </row>
    <row r="274" spans="1:43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Q274">
        <f t="shared" si="4"/>
        <v>0</v>
      </c>
    </row>
    <row r="275" spans="1:43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Q275">
        <f t="shared" si="4"/>
        <v>0</v>
      </c>
    </row>
    <row r="276" spans="1:43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Q276">
        <f t="shared" si="4"/>
        <v>0</v>
      </c>
    </row>
    <row r="277" spans="1:43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Q277">
        <f t="shared" si="4"/>
        <v>0</v>
      </c>
    </row>
    <row r="278" spans="1:43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Q278">
        <f t="shared" si="4"/>
        <v>0</v>
      </c>
    </row>
    <row r="279" spans="1:43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Q279">
        <f t="shared" si="4"/>
        <v>0</v>
      </c>
    </row>
    <row r="280" spans="1:43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Q280">
        <f t="shared" si="4"/>
        <v>0</v>
      </c>
    </row>
    <row r="281" spans="1:43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Q281">
        <f t="shared" si="4"/>
        <v>0</v>
      </c>
    </row>
    <row r="282" spans="1:43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Q282">
        <f t="shared" si="4"/>
        <v>0</v>
      </c>
    </row>
    <row r="283" spans="1:43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Q283">
        <f t="shared" si="4"/>
        <v>0</v>
      </c>
    </row>
    <row r="284" spans="1:43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Q284">
        <f t="shared" si="4"/>
        <v>0</v>
      </c>
    </row>
    <row r="285" spans="1:43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Q285">
        <f t="shared" si="4"/>
        <v>0</v>
      </c>
    </row>
    <row r="286" spans="1:43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Q286">
        <f t="shared" si="4"/>
        <v>0</v>
      </c>
    </row>
    <row r="287" spans="1:43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Q287">
        <f t="shared" si="4"/>
        <v>0</v>
      </c>
    </row>
    <row r="288" spans="1:43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Q288">
        <f t="shared" si="4"/>
        <v>1</v>
      </c>
    </row>
    <row r="289" spans="1:43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Q289">
        <f t="shared" si="4"/>
        <v>0</v>
      </c>
    </row>
    <row r="290" spans="1:43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Q290">
        <f t="shared" si="4"/>
        <v>1</v>
      </c>
    </row>
    <row r="291" spans="1:43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Q291">
        <f t="shared" si="4"/>
        <v>0</v>
      </c>
    </row>
    <row r="292" spans="1:43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Q292">
        <f t="shared" si="4"/>
        <v>0</v>
      </c>
    </row>
    <row r="293" spans="1:43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Q293">
        <f t="shared" si="4"/>
        <v>0</v>
      </c>
    </row>
    <row r="294" spans="1:43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Q294">
        <f t="shared" si="4"/>
        <v>0</v>
      </c>
    </row>
    <row r="295" spans="1:43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Q295">
        <f t="shared" si="4"/>
        <v>1</v>
      </c>
    </row>
    <row r="296" spans="1:43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Q296">
        <f t="shared" si="4"/>
        <v>0</v>
      </c>
    </row>
    <row r="297" spans="1:43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Q297">
        <f t="shared" si="4"/>
        <v>0</v>
      </c>
    </row>
    <row r="298" spans="1:43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Q298">
        <f t="shared" si="4"/>
        <v>1</v>
      </c>
    </row>
    <row r="299" spans="1:43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Q299">
        <f t="shared" si="4"/>
        <v>0</v>
      </c>
    </row>
    <row r="300" spans="1:43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Q300">
        <f t="shared" si="4"/>
        <v>0</v>
      </c>
    </row>
    <row r="301" spans="1:43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Q301">
        <f t="shared" si="4"/>
        <v>0</v>
      </c>
    </row>
    <row r="302" spans="1:43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Q302">
        <f t="shared" si="4"/>
        <v>0</v>
      </c>
    </row>
    <row r="303" spans="1:43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Q303">
        <f t="shared" si="4"/>
        <v>0</v>
      </c>
    </row>
    <row r="304" spans="1:43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Q304">
        <f t="shared" si="4"/>
        <v>0</v>
      </c>
    </row>
    <row r="305" spans="1:43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Q305">
        <f t="shared" si="4"/>
        <v>0</v>
      </c>
    </row>
    <row r="306" spans="1:43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Q306">
        <f t="shared" si="4"/>
        <v>0</v>
      </c>
    </row>
    <row r="307" spans="1:43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Q307">
        <f t="shared" si="4"/>
        <v>0</v>
      </c>
    </row>
    <row r="308" spans="1:43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Q308">
        <f t="shared" si="4"/>
        <v>0</v>
      </c>
    </row>
    <row r="309" spans="1:43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Q309">
        <f t="shared" si="4"/>
        <v>0</v>
      </c>
    </row>
    <row r="310" spans="1:43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Q310">
        <f t="shared" si="4"/>
        <v>0</v>
      </c>
    </row>
    <row r="311" spans="1:43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Q311">
        <f t="shared" si="4"/>
        <v>0</v>
      </c>
    </row>
    <row r="312" spans="1:43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Q312">
        <f t="shared" si="4"/>
        <v>0</v>
      </c>
    </row>
    <row r="313" spans="1:43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Q313">
        <f t="shared" si="4"/>
        <v>0</v>
      </c>
    </row>
    <row r="314" spans="1:43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Q314">
        <f t="shared" si="4"/>
        <v>0</v>
      </c>
    </row>
    <row r="315" spans="1:43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Q315">
        <f t="shared" si="4"/>
        <v>0</v>
      </c>
    </row>
    <row r="316" spans="1:43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Q316">
        <f t="shared" si="4"/>
        <v>0</v>
      </c>
    </row>
    <row r="317" spans="1:43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Q317">
        <f t="shared" si="4"/>
        <v>0</v>
      </c>
    </row>
    <row r="318" spans="1:43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Q318">
        <f t="shared" si="4"/>
        <v>0</v>
      </c>
    </row>
    <row r="319" spans="1:43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Q319">
        <f t="shared" si="4"/>
        <v>1</v>
      </c>
    </row>
    <row r="320" spans="1:43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Q320">
        <f t="shared" si="4"/>
        <v>0</v>
      </c>
    </row>
    <row r="321" spans="1:43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Q321">
        <f t="shared" si="4"/>
        <v>0</v>
      </c>
    </row>
    <row r="322" spans="1:43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Q322">
        <f t="shared" si="4"/>
        <v>0</v>
      </c>
    </row>
    <row r="323" spans="1:43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Q323">
        <f t="shared" ref="AQ323:AQ386" si="5">IF(B323="Yes",1,0)</f>
        <v>0</v>
      </c>
    </row>
    <row r="324" spans="1:43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Q324">
        <f t="shared" si="5"/>
        <v>0</v>
      </c>
    </row>
    <row r="325" spans="1:43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Q325">
        <f t="shared" si="5"/>
        <v>1</v>
      </c>
    </row>
    <row r="326" spans="1:43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Q326">
        <f t="shared" si="5"/>
        <v>0</v>
      </c>
    </row>
    <row r="327" spans="1:43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Q327">
        <f t="shared" si="5"/>
        <v>0</v>
      </c>
    </row>
    <row r="328" spans="1:43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Q328">
        <f t="shared" si="5"/>
        <v>0</v>
      </c>
    </row>
    <row r="329" spans="1:43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Q329">
        <f t="shared" si="5"/>
        <v>1</v>
      </c>
    </row>
    <row r="330" spans="1:43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Q330">
        <f t="shared" si="5"/>
        <v>0</v>
      </c>
    </row>
    <row r="331" spans="1:43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Q331">
        <f t="shared" si="5"/>
        <v>0</v>
      </c>
    </row>
    <row r="332" spans="1:43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Q332">
        <f t="shared" si="5"/>
        <v>0</v>
      </c>
    </row>
    <row r="333" spans="1:43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Q333">
        <f t="shared" si="5"/>
        <v>0</v>
      </c>
    </row>
    <row r="334" spans="1:43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Q334">
        <f t="shared" si="5"/>
        <v>0</v>
      </c>
    </row>
    <row r="335" spans="1:43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Q335">
        <f t="shared" si="5"/>
        <v>0</v>
      </c>
    </row>
    <row r="336" spans="1:43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Q336">
        <f t="shared" si="5"/>
        <v>0</v>
      </c>
    </row>
    <row r="337" spans="1:43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Q337">
        <f t="shared" si="5"/>
        <v>0</v>
      </c>
    </row>
    <row r="338" spans="1:43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Q338">
        <f t="shared" si="5"/>
        <v>1</v>
      </c>
    </row>
    <row r="339" spans="1:43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Q339">
        <f t="shared" si="5"/>
        <v>0</v>
      </c>
    </row>
    <row r="340" spans="1:43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Q340">
        <f t="shared" si="5"/>
        <v>0</v>
      </c>
    </row>
    <row r="341" spans="1:43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Q341">
        <f t="shared" si="5"/>
        <v>0</v>
      </c>
    </row>
    <row r="342" spans="1:43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Q342">
        <f t="shared" si="5"/>
        <v>0</v>
      </c>
    </row>
    <row r="343" spans="1:43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Q343">
        <f t="shared" si="5"/>
        <v>0</v>
      </c>
    </row>
    <row r="344" spans="1:43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Q344">
        <f t="shared" si="5"/>
        <v>0</v>
      </c>
    </row>
    <row r="345" spans="1:43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Q345">
        <f t="shared" si="5"/>
        <v>0</v>
      </c>
    </row>
    <row r="346" spans="1:43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Q346">
        <f t="shared" si="5"/>
        <v>0</v>
      </c>
    </row>
    <row r="347" spans="1:43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Q347">
        <f t="shared" si="5"/>
        <v>0</v>
      </c>
    </row>
    <row r="348" spans="1:43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Q348">
        <f t="shared" si="5"/>
        <v>0</v>
      </c>
    </row>
    <row r="349" spans="1:43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Q349">
        <f t="shared" si="5"/>
        <v>0</v>
      </c>
    </row>
    <row r="350" spans="1:43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Q350">
        <f t="shared" si="5"/>
        <v>0</v>
      </c>
    </row>
    <row r="351" spans="1:43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Q351">
        <f t="shared" si="5"/>
        <v>0</v>
      </c>
    </row>
    <row r="352" spans="1:43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Q352">
        <f t="shared" si="5"/>
        <v>0</v>
      </c>
    </row>
    <row r="353" spans="1:43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Q353">
        <f t="shared" si="5"/>
        <v>0</v>
      </c>
    </row>
    <row r="354" spans="1:43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Q354">
        <f t="shared" si="5"/>
        <v>0</v>
      </c>
    </row>
    <row r="355" spans="1:43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Q355">
        <f t="shared" si="5"/>
        <v>0</v>
      </c>
    </row>
    <row r="356" spans="1:43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Q356">
        <f t="shared" si="5"/>
        <v>0</v>
      </c>
    </row>
    <row r="357" spans="1:43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Q357">
        <f t="shared" si="5"/>
        <v>0</v>
      </c>
    </row>
    <row r="358" spans="1:43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Q358">
        <f t="shared" si="5"/>
        <v>0</v>
      </c>
    </row>
    <row r="359" spans="1:43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Q359">
        <f t="shared" si="5"/>
        <v>1</v>
      </c>
    </row>
    <row r="360" spans="1:43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Q360">
        <f t="shared" si="5"/>
        <v>0</v>
      </c>
    </row>
    <row r="361" spans="1:43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Q361">
        <f t="shared" si="5"/>
        <v>0</v>
      </c>
    </row>
    <row r="362" spans="1:43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Q362">
        <f t="shared" si="5"/>
        <v>0</v>
      </c>
    </row>
    <row r="363" spans="1:43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Q363">
        <f t="shared" si="5"/>
        <v>0</v>
      </c>
    </row>
    <row r="364" spans="1:43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Q364">
        <f t="shared" si="5"/>
        <v>0</v>
      </c>
    </row>
    <row r="365" spans="1:43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Q365">
        <f t="shared" si="5"/>
        <v>1</v>
      </c>
    </row>
    <row r="366" spans="1:43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Q366">
        <f t="shared" si="5"/>
        <v>0</v>
      </c>
    </row>
    <row r="367" spans="1:43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Q367">
        <f t="shared" si="5"/>
        <v>0</v>
      </c>
    </row>
    <row r="368" spans="1:43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Q368">
        <f t="shared" si="5"/>
        <v>1</v>
      </c>
    </row>
    <row r="369" spans="1:43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Q369">
        <f t="shared" si="5"/>
        <v>0</v>
      </c>
    </row>
    <row r="370" spans="1:43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Q370">
        <f t="shared" si="5"/>
        <v>1</v>
      </c>
    </row>
    <row r="371" spans="1:43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Q371">
        <f t="shared" si="5"/>
        <v>0</v>
      </c>
    </row>
    <row r="372" spans="1:43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Q372">
        <f t="shared" si="5"/>
        <v>1</v>
      </c>
    </row>
    <row r="373" spans="1:43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Q373">
        <f t="shared" si="5"/>
        <v>0</v>
      </c>
    </row>
    <row r="374" spans="1:43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Q374">
        <f t="shared" si="5"/>
        <v>0</v>
      </c>
    </row>
    <row r="375" spans="1:43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Q375">
        <f t="shared" si="5"/>
        <v>0</v>
      </c>
    </row>
    <row r="376" spans="1:43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Q376">
        <f t="shared" si="5"/>
        <v>0</v>
      </c>
    </row>
    <row r="377" spans="1:43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Q377">
        <f t="shared" si="5"/>
        <v>0</v>
      </c>
    </row>
    <row r="378" spans="1:43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Q378">
        <f t="shared" si="5"/>
        <v>0</v>
      </c>
    </row>
    <row r="379" spans="1:43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Q379">
        <f t="shared" si="5"/>
        <v>0</v>
      </c>
    </row>
    <row r="380" spans="1:43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Q380">
        <f t="shared" si="5"/>
        <v>1</v>
      </c>
    </row>
    <row r="381" spans="1:43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Q381">
        <f t="shared" si="5"/>
        <v>0</v>
      </c>
    </row>
    <row r="382" spans="1:43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Q382">
        <f t="shared" si="5"/>
        <v>0</v>
      </c>
    </row>
    <row r="383" spans="1:43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Q383">
        <f t="shared" si="5"/>
        <v>0</v>
      </c>
    </row>
    <row r="384" spans="1:43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Q384">
        <f t="shared" si="5"/>
        <v>1</v>
      </c>
    </row>
    <row r="385" spans="1:43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Q385">
        <f t="shared" si="5"/>
        <v>0</v>
      </c>
    </row>
    <row r="386" spans="1:43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Q386">
        <f t="shared" si="5"/>
        <v>0</v>
      </c>
    </row>
    <row r="387" spans="1:43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Q387">
        <f t="shared" ref="AQ387:AQ450" si="6">IF(B387="Yes",1,0)</f>
        <v>1</v>
      </c>
    </row>
    <row r="388" spans="1:43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Q388">
        <f t="shared" si="6"/>
        <v>0</v>
      </c>
    </row>
    <row r="389" spans="1:43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Q389">
        <f t="shared" si="6"/>
        <v>0</v>
      </c>
    </row>
    <row r="390" spans="1:43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Q390">
        <f t="shared" si="6"/>
        <v>0</v>
      </c>
    </row>
    <row r="391" spans="1:43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Q391">
        <f t="shared" si="6"/>
        <v>0</v>
      </c>
    </row>
    <row r="392" spans="1:43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Q392">
        <f t="shared" si="6"/>
        <v>0</v>
      </c>
    </row>
    <row r="393" spans="1:43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Q393">
        <f t="shared" si="6"/>
        <v>0</v>
      </c>
    </row>
    <row r="394" spans="1:43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Q394">
        <f t="shared" si="6"/>
        <v>0</v>
      </c>
    </row>
    <row r="395" spans="1:43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Q395">
        <f t="shared" si="6"/>
        <v>0</v>
      </c>
    </row>
    <row r="396" spans="1:43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Q396">
        <f t="shared" si="6"/>
        <v>0</v>
      </c>
    </row>
    <row r="397" spans="1:43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Q397">
        <f t="shared" si="6"/>
        <v>0</v>
      </c>
    </row>
    <row r="398" spans="1:43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Q398">
        <f t="shared" si="6"/>
        <v>0</v>
      </c>
    </row>
    <row r="399" spans="1:43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Q399">
        <f t="shared" si="6"/>
        <v>0</v>
      </c>
    </row>
    <row r="400" spans="1:43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Q400">
        <f t="shared" si="6"/>
        <v>0</v>
      </c>
    </row>
    <row r="401" spans="1:43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Q401">
        <f t="shared" si="6"/>
        <v>0</v>
      </c>
    </row>
    <row r="402" spans="1:43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Q402">
        <f t="shared" si="6"/>
        <v>0</v>
      </c>
    </row>
    <row r="403" spans="1:43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Q403">
        <f t="shared" si="6"/>
        <v>0</v>
      </c>
    </row>
    <row r="404" spans="1:43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Q404">
        <f t="shared" si="6"/>
        <v>0</v>
      </c>
    </row>
    <row r="405" spans="1:43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Q405">
        <f t="shared" si="6"/>
        <v>0</v>
      </c>
    </row>
    <row r="406" spans="1:43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Q406">
        <f t="shared" si="6"/>
        <v>0</v>
      </c>
    </row>
    <row r="407" spans="1:43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Q407">
        <f t="shared" si="6"/>
        <v>1</v>
      </c>
    </row>
    <row r="408" spans="1:43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Q408">
        <f t="shared" si="6"/>
        <v>0</v>
      </c>
    </row>
    <row r="409" spans="1:43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Q409">
        <f t="shared" si="6"/>
        <v>0</v>
      </c>
    </row>
    <row r="410" spans="1:43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Q410">
        <f t="shared" si="6"/>
        <v>0</v>
      </c>
    </row>
    <row r="411" spans="1:43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Q411">
        <f t="shared" si="6"/>
        <v>0</v>
      </c>
    </row>
    <row r="412" spans="1:43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Q412">
        <f t="shared" si="6"/>
        <v>0</v>
      </c>
    </row>
    <row r="413" spans="1:43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Q413">
        <f t="shared" si="6"/>
        <v>0</v>
      </c>
    </row>
    <row r="414" spans="1:43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Q414">
        <f t="shared" si="6"/>
        <v>0</v>
      </c>
    </row>
    <row r="415" spans="1:43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Q415">
        <f t="shared" si="6"/>
        <v>0</v>
      </c>
    </row>
    <row r="416" spans="1:43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Q416">
        <f t="shared" si="6"/>
        <v>1</v>
      </c>
    </row>
    <row r="417" spans="1:43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Q417">
        <f t="shared" si="6"/>
        <v>1</v>
      </c>
    </row>
    <row r="418" spans="1:43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Q418">
        <f t="shared" si="6"/>
        <v>0</v>
      </c>
    </row>
    <row r="419" spans="1:43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Q419">
        <f t="shared" si="6"/>
        <v>0</v>
      </c>
    </row>
    <row r="420" spans="1:43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Q420">
        <f t="shared" si="6"/>
        <v>0</v>
      </c>
    </row>
    <row r="421" spans="1:43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Q421">
        <f t="shared" si="6"/>
        <v>0</v>
      </c>
    </row>
    <row r="422" spans="1:43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Q422">
        <f t="shared" si="6"/>
        <v>0</v>
      </c>
    </row>
    <row r="423" spans="1:43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Q423">
        <f t="shared" si="6"/>
        <v>1</v>
      </c>
    </row>
    <row r="424" spans="1:43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Q424">
        <f t="shared" si="6"/>
        <v>1</v>
      </c>
    </row>
    <row r="425" spans="1:43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Q425">
        <f t="shared" si="6"/>
        <v>0</v>
      </c>
    </row>
    <row r="426" spans="1:43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Q426">
        <f t="shared" si="6"/>
        <v>0</v>
      </c>
    </row>
    <row r="427" spans="1:43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Q427">
        <f t="shared" si="6"/>
        <v>0</v>
      </c>
    </row>
    <row r="428" spans="1:43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Q428">
        <f t="shared" si="6"/>
        <v>0</v>
      </c>
    </row>
    <row r="429" spans="1:43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Q429">
        <f t="shared" si="6"/>
        <v>0</v>
      </c>
    </row>
    <row r="430" spans="1:43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Q430">
        <f t="shared" si="6"/>
        <v>0</v>
      </c>
    </row>
    <row r="431" spans="1:43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Q431">
        <f t="shared" si="6"/>
        <v>0</v>
      </c>
    </row>
    <row r="432" spans="1:43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Q432">
        <f t="shared" si="6"/>
        <v>0</v>
      </c>
    </row>
    <row r="433" spans="1:43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Q433">
        <f t="shared" si="6"/>
        <v>0</v>
      </c>
    </row>
    <row r="434" spans="1:43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Q434">
        <f t="shared" si="6"/>
        <v>0</v>
      </c>
    </row>
    <row r="435" spans="1:43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Q435">
        <f t="shared" si="6"/>
        <v>0</v>
      </c>
    </row>
    <row r="436" spans="1:43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Q436">
        <f t="shared" si="6"/>
        <v>0</v>
      </c>
    </row>
    <row r="437" spans="1:43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Q437">
        <f t="shared" si="6"/>
        <v>1</v>
      </c>
    </row>
    <row r="438" spans="1:43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Q438">
        <f t="shared" si="6"/>
        <v>1</v>
      </c>
    </row>
    <row r="439" spans="1:43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Q439">
        <f t="shared" si="6"/>
        <v>0</v>
      </c>
    </row>
    <row r="440" spans="1:43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Q440">
        <f t="shared" si="6"/>
        <v>0</v>
      </c>
    </row>
    <row r="441" spans="1:43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Q441">
        <f t="shared" si="6"/>
        <v>1</v>
      </c>
    </row>
    <row r="442" spans="1:43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Q442">
        <f t="shared" si="6"/>
        <v>1</v>
      </c>
    </row>
    <row r="443" spans="1:43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Q443">
        <f t="shared" si="6"/>
        <v>0</v>
      </c>
    </row>
    <row r="444" spans="1:43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Q444">
        <f t="shared" si="6"/>
        <v>0</v>
      </c>
    </row>
    <row r="445" spans="1:43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Q445">
        <f t="shared" si="6"/>
        <v>1</v>
      </c>
    </row>
    <row r="446" spans="1:43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Q446">
        <f t="shared" si="6"/>
        <v>0</v>
      </c>
    </row>
    <row r="447" spans="1:43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Q447">
        <f t="shared" si="6"/>
        <v>0</v>
      </c>
    </row>
    <row r="448" spans="1:43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Q448">
        <f t="shared" si="6"/>
        <v>0</v>
      </c>
    </row>
    <row r="449" spans="1:43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Q449">
        <f t="shared" si="6"/>
        <v>0</v>
      </c>
    </row>
    <row r="450" spans="1:43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Q450">
        <f t="shared" si="6"/>
        <v>0</v>
      </c>
    </row>
    <row r="451" spans="1:43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Q451">
        <f t="shared" ref="AQ451:AQ514" si="7">IF(B451="Yes",1,0)</f>
        <v>0</v>
      </c>
    </row>
    <row r="452" spans="1:43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Q452">
        <f t="shared" si="7"/>
        <v>0</v>
      </c>
    </row>
    <row r="453" spans="1:43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Q453">
        <f t="shared" si="7"/>
        <v>0</v>
      </c>
    </row>
    <row r="454" spans="1:43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Q454">
        <f t="shared" si="7"/>
        <v>0</v>
      </c>
    </row>
    <row r="455" spans="1:43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Q455">
        <f t="shared" si="7"/>
        <v>1</v>
      </c>
    </row>
    <row r="456" spans="1:43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Q456">
        <f t="shared" si="7"/>
        <v>0</v>
      </c>
    </row>
    <row r="457" spans="1:43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Q457">
        <f t="shared" si="7"/>
        <v>0</v>
      </c>
    </row>
    <row r="458" spans="1:43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Q458">
        <f t="shared" si="7"/>
        <v>0</v>
      </c>
    </row>
    <row r="459" spans="1:43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Q459">
        <f t="shared" si="7"/>
        <v>1</v>
      </c>
    </row>
    <row r="460" spans="1:43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Q460">
        <f t="shared" si="7"/>
        <v>0</v>
      </c>
    </row>
    <row r="461" spans="1:43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Q461">
        <f t="shared" si="7"/>
        <v>0</v>
      </c>
    </row>
    <row r="462" spans="1:43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Q462">
        <f t="shared" si="7"/>
        <v>0</v>
      </c>
    </row>
    <row r="463" spans="1:43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Q463">
        <f t="shared" si="7"/>
        <v>0</v>
      </c>
    </row>
    <row r="464" spans="1:43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Q464">
        <f t="shared" si="7"/>
        <v>0</v>
      </c>
    </row>
    <row r="465" spans="1:43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Q465">
        <f t="shared" si="7"/>
        <v>1</v>
      </c>
    </row>
    <row r="466" spans="1:43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Q466">
        <f t="shared" si="7"/>
        <v>0</v>
      </c>
    </row>
    <row r="467" spans="1:43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Q467">
        <f t="shared" si="7"/>
        <v>0</v>
      </c>
    </row>
    <row r="468" spans="1:43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Q468">
        <f t="shared" si="7"/>
        <v>0</v>
      </c>
    </row>
    <row r="469" spans="1:43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Q469">
        <f t="shared" si="7"/>
        <v>0</v>
      </c>
    </row>
    <row r="470" spans="1:43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Q470">
        <f t="shared" si="7"/>
        <v>0</v>
      </c>
    </row>
    <row r="471" spans="1:43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Q471">
        <f t="shared" si="7"/>
        <v>1</v>
      </c>
    </row>
    <row r="472" spans="1:43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Q472">
        <f t="shared" si="7"/>
        <v>0</v>
      </c>
    </row>
    <row r="473" spans="1:43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Q473">
        <f t="shared" si="7"/>
        <v>0</v>
      </c>
    </row>
    <row r="474" spans="1:43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Q474">
        <f t="shared" si="7"/>
        <v>0</v>
      </c>
    </row>
    <row r="475" spans="1:43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Q475">
        <f t="shared" si="7"/>
        <v>0</v>
      </c>
    </row>
    <row r="476" spans="1:43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Q476">
        <f t="shared" si="7"/>
        <v>0</v>
      </c>
    </row>
    <row r="477" spans="1:43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Q477">
        <f t="shared" si="7"/>
        <v>0</v>
      </c>
    </row>
    <row r="478" spans="1:43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Q478">
        <f t="shared" si="7"/>
        <v>0</v>
      </c>
    </row>
    <row r="479" spans="1:43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Q479">
        <f t="shared" si="7"/>
        <v>0</v>
      </c>
    </row>
    <row r="480" spans="1:43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Q480">
        <f t="shared" si="7"/>
        <v>0</v>
      </c>
    </row>
    <row r="481" spans="1:43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Q481">
        <f t="shared" si="7"/>
        <v>1</v>
      </c>
    </row>
    <row r="482" spans="1:43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Q482">
        <f t="shared" si="7"/>
        <v>1</v>
      </c>
    </row>
    <row r="483" spans="1:43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Q483">
        <f t="shared" si="7"/>
        <v>0</v>
      </c>
    </row>
    <row r="484" spans="1:43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Q484">
        <f t="shared" si="7"/>
        <v>1</v>
      </c>
    </row>
    <row r="485" spans="1:43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Q485">
        <f t="shared" si="7"/>
        <v>0</v>
      </c>
    </row>
    <row r="486" spans="1:43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Q486">
        <f t="shared" si="7"/>
        <v>0</v>
      </c>
    </row>
    <row r="487" spans="1:43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Q487">
        <f t="shared" si="7"/>
        <v>0</v>
      </c>
    </row>
    <row r="488" spans="1:43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Q488">
        <f t="shared" si="7"/>
        <v>0</v>
      </c>
    </row>
    <row r="489" spans="1:43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Q489">
        <f t="shared" si="7"/>
        <v>0</v>
      </c>
    </row>
    <row r="490" spans="1:43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Q490">
        <f t="shared" si="7"/>
        <v>0</v>
      </c>
    </row>
    <row r="491" spans="1:43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Q491">
        <f t="shared" si="7"/>
        <v>0</v>
      </c>
    </row>
    <row r="492" spans="1:43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Q492">
        <f t="shared" si="7"/>
        <v>0</v>
      </c>
    </row>
    <row r="493" spans="1:43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Q493">
        <f t="shared" si="7"/>
        <v>0</v>
      </c>
    </row>
    <row r="494" spans="1:43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Q494">
        <f t="shared" si="7"/>
        <v>0</v>
      </c>
    </row>
    <row r="495" spans="1:43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Q495">
        <f t="shared" si="7"/>
        <v>0</v>
      </c>
    </row>
    <row r="496" spans="1:43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Q496">
        <f t="shared" si="7"/>
        <v>0</v>
      </c>
    </row>
    <row r="497" spans="1:43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Q497">
        <f t="shared" si="7"/>
        <v>1</v>
      </c>
    </row>
    <row r="498" spans="1:43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Q498">
        <f t="shared" si="7"/>
        <v>0</v>
      </c>
    </row>
    <row r="499" spans="1:43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Q499">
        <f t="shared" si="7"/>
        <v>0</v>
      </c>
    </row>
    <row r="500" spans="1:43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Q500">
        <f t="shared" si="7"/>
        <v>0</v>
      </c>
    </row>
    <row r="501" spans="1:43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Q501">
        <f t="shared" si="7"/>
        <v>0</v>
      </c>
    </row>
    <row r="502" spans="1:43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Q502">
        <f t="shared" si="7"/>
        <v>0</v>
      </c>
    </row>
    <row r="503" spans="1:43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Q503">
        <f t="shared" si="7"/>
        <v>0</v>
      </c>
    </row>
    <row r="504" spans="1:43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Q504">
        <f t="shared" si="7"/>
        <v>0</v>
      </c>
    </row>
    <row r="505" spans="1:43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Q505">
        <f t="shared" si="7"/>
        <v>0</v>
      </c>
    </row>
    <row r="506" spans="1:43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Q506">
        <f t="shared" si="7"/>
        <v>1</v>
      </c>
    </row>
    <row r="507" spans="1:43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Q507">
        <f t="shared" si="7"/>
        <v>0</v>
      </c>
    </row>
    <row r="508" spans="1:43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Q508">
        <f t="shared" si="7"/>
        <v>0</v>
      </c>
    </row>
    <row r="509" spans="1:43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Q509">
        <f t="shared" si="7"/>
        <v>0</v>
      </c>
    </row>
    <row r="510" spans="1:43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Q510">
        <f t="shared" si="7"/>
        <v>0</v>
      </c>
    </row>
    <row r="511" spans="1:43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Q511">
        <f t="shared" si="7"/>
        <v>0</v>
      </c>
    </row>
    <row r="512" spans="1:43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Q512">
        <f t="shared" si="7"/>
        <v>0</v>
      </c>
    </row>
    <row r="513" spans="1:43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Q513">
        <f t="shared" si="7"/>
        <v>0</v>
      </c>
    </row>
    <row r="514" spans="1:43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Q514">
        <f t="shared" si="7"/>
        <v>0</v>
      </c>
    </row>
    <row r="515" spans="1:43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Q515">
        <f t="shared" ref="AQ515:AQ578" si="8">IF(B515="Yes",1,0)</f>
        <v>1</v>
      </c>
    </row>
    <row r="516" spans="1:43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Q516">
        <f t="shared" si="8"/>
        <v>1</v>
      </c>
    </row>
    <row r="517" spans="1:43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Q517">
        <f t="shared" si="8"/>
        <v>0</v>
      </c>
    </row>
    <row r="518" spans="1:43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Q518">
        <f t="shared" si="8"/>
        <v>0</v>
      </c>
    </row>
    <row r="519" spans="1:43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Q519">
        <f t="shared" si="8"/>
        <v>0</v>
      </c>
    </row>
    <row r="520" spans="1:43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Q520">
        <f t="shared" si="8"/>
        <v>0</v>
      </c>
    </row>
    <row r="521" spans="1:43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Q521">
        <f t="shared" si="8"/>
        <v>0</v>
      </c>
    </row>
    <row r="522" spans="1:43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Q522">
        <f t="shared" si="8"/>
        <v>0</v>
      </c>
    </row>
    <row r="523" spans="1:43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Q523">
        <f t="shared" si="8"/>
        <v>0</v>
      </c>
    </row>
    <row r="524" spans="1:43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Q524">
        <f t="shared" si="8"/>
        <v>0</v>
      </c>
    </row>
    <row r="525" spans="1:43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Q525">
        <f t="shared" si="8"/>
        <v>0</v>
      </c>
    </row>
    <row r="526" spans="1:43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Q526">
        <f t="shared" si="8"/>
        <v>0</v>
      </c>
    </row>
    <row r="527" spans="1:43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Q527">
        <f t="shared" si="8"/>
        <v>1</v>
      </c>
    </row>
    <row r="528" spans="1:43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Q528">
        <f t="shared" si="8"/>
        <v>0</v>
      </c>
    </row>
    <row r="529" spans="1:43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Q529">
        <f t="shared" si="8"/>
        <v>0</v>
      </c>
    </row>
    <row r="530" spans="1:43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Q530">
        <f t="shared" si="8"/>
        <v>1</v>
      </c>
    </row>
    <row r="531" spans="1:43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Q531">
        <f t="shared" si="8"/>
        <v>0</v>
      </c>
    </row>
    <row r="532" spans="1:43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Q532">
        <f t="shared" si="8"/>
        <v>0</v>
      </c>
    </row>
    <row r="533" spans="1:43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Q533">
        <f t="shared" si="8"/>
        <v>0</v>
      </c>
    </row>
    <row r="534" spans="1:43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Q534">
        <f t="shared" si="8"/>
        <v>0</v>
      </c>
    </row>
    <row r="535" spans="1:43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Q535">
        <f t="shared" si="8"/>
        <v>0</v>
      </c>
    </row>
    <row r="536" spans="1:43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Q536">
        <f t="shared" si="8"/>
        <v>0</v>
      </c>
    </row>
    <row r="537" spans="1:43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Q537">
        <f t="shared" si="8"/>
        <v>0</v>
      </c>
    </row>
    <row r="538" spans="1:43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Q538">
        <f t="shared" si="8"/>
        <v>0</v>
      </c>
    </row>
    <row r="539" spans="1:43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Q539">
        <f t="shared" si="8"/>
        <v>0</v>
      </c>
    </row>
    <row r="540" spans="1:43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Q540">
        <f t="shared" si="8"/>
        <v>0</v>
      </c>
    </row>
    <row r="541" spans="1:43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Q541">
        <f t="shared" si="8"/>
        <v>0</v>
      </c>
    </row>
    <row r="542" spans="1:43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Q542">
        <f t="shared" si="8"/>
        <v>1</v>
      </c>
    </row>
    <row r="543" spans="1:43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Q543">
        <f t="shared" si="8"/>
        <v>0</v>
      </c>
    </row>
    <row r="544" spans="1:43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Q544">
        <f t="shared" si="8"/>
        <v>0</v>
      </c>
    </row>
    <row r="545" spans="1:43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Q545">
        <f t="shared" si="8"/>
        <v>0</v>
      </c>
    </row>
    <row r="546" spans="1:43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Q546">
        <f t="shared" si="8"/>
        <v>0</v>
      </c>
    </row>
    <row r="547" spans="1:43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Q547">
        <f t="shared" si="8"/>
        <v>0</v>
      </c>
    </row>
    <row r="548" spans="1:43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Q548">
        <f t="shared" si="8"/>
        <v>0</v>
      </c>
    </row>
    <row r="549" spans="1:43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Q549">
        <f t="shared" si="8"/>
        <v>1</v>
      </c>
    </row>
    <row r="550" spans="1:43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Q550">
        <f t="shared" si="8"/>
        <v>0</v>
      </c>
    </row>
    <row r="551" spans="1:43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Q551">
        <f t="shared" si="8"/>
        <v>0</v>
      </c>
    </row>
    <row r="552" spans="1:43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Q552">
        <f t="shared" si="8"/>
        <v>0</v>
      </c>
    </row>
    <row r="553" spans="1:43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Q553">
        <f t="shared" si="8"/>
        <v>0</v>
      </c>
    </row>
    <row r="554" spans="1:43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Q554">
        <f t="shared" si="8"/>
        <v>0</v>
      </c>
    </row>
    <row r="555" spans="1:43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Q555">
        <f t="shared" si="8"/>
        <v>0</v>
      </c>
    </row>
    <row r="556" spans="1:43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Q556">
        <f t="shared" si="8"/>
        <v>0</v>
      </c>
    </row>
    <row r="557" spans="1:43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Q557">
        <f t="shared" si="8"/>
        <v>0</v>
      </c>
    </row>
    <row r="558" spans="1:43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Q558">
        <f t="shared" si="8"/>
        <v>0</v>
      </c>
    </row>
    <row r="559" spans="1:43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Q559">
        <f t="shared" si="8"/>
        <v>0</v>
      </c>
    </row>
    <row r="560" spans="1:43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Q560">
        <f t="shared" si="8"/>
        <v>0</v>
      </c>
    </row>
    <row r="561" spans="1:43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Q561">
        <f t="shared" si="8"/>
        <v>0</v>
      </c>
    </row>
    <row r="562" spans="1:43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Q562">
        <f t="shared" si="8"/>
        <v>0</v>
      </c>
    </row>
    <row r="563" spans="1:43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Q563">
        <f t="shared" si="8"/>
        <v>0</v>
      </c>
    </row>
    <row r="564" spans="1:43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Q564">
        <f t="shared" si="8"/>
        <v>1</v>
      </c>
    </row>
    <row r="565" spans="1:43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Q565">
        <f t="shared" si="8"/>
        <v>0</v>
      </c>
    </row>
    <row r="566" spans="1:43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Q566">
        <f t="shared" si="8"/>
        <v>0</v>
      </c>
    </row>
    <row r="567" spans="1:43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Q567">
        <f t="shared" si="8"/>
        <v>0</v>
      </c>
    </row>
    <row r="568" spans="1:43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Q568">
        <f t="shared" si="8"/>
        <v>1</v>
      </c>
    </row>
    <row r="569" spans="1:43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Q569">
        <f t="shared" si="8"/>
        <v>0</v>
      </c>
    </row>
    <row r="570" spans="1:43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Q570">
        <f t="shared" si="8"/>
        <v>1</v>
      </c>
    </row>
    <row r="571" spans="1:43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Q571">
        <f t="shared" si="8"/>
        <v>0</v>
      </c>
    </row>
    <row r="572" spans="1:43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Q572">
        <f t="shared" si="8"/>
        <v>0</v>
      </c>
    </row>
    <row r="573" spans="1:43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Q573">
        <f t="shared" si="8"/>
        <v>0</v>
      </c>
    </row>
    <row r="574" spans="1:43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Q574">
        <f t="shared" si="8"/>
        <v>0</v>
      </c>
    </row>
    <row r="575" spans="1:43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Q575">
        <f t="shared" si="8"/>
        <v>1</v>
      </c>
    </row>
    <row r="576" spans="1:43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Q576">
        <f t="shared" si="8"/>
        <v>0</v>
      </c>
    </row>
    <row r="577" spans="1:43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Q577">
        <f t="shared" si="8"/>
        <v>0</v>
      </c>
    </row>
    <row r="578" spans="1:43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Q578">
        <f t="shared" si="8"/>
        <v>0</v>
      </c>
    </row>
    <row r="579" spans="1:43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Q579">
        <f t="shared" ref="AQ579:AQ642" si="9">IF(B579="Yes",1,0)</f>
        <v>0</v>
      </c>
    </row>
    <row r="580" spans="1:43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Q580">
        <f t="shared" si="9"/>
        <v>0</v>
      </c>
    </row>
    <row r="581" spans="1:43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Q581">
        <f t="shared" si="9"/>
        <v>0</v>
      </c>
    </row>
    <row r="582" spans="1:43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Q582">
        <f t="shared" si="9"/>
        <v>0</v>
      </c>
    </row>
    <row r="583" spans="1:43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Q583">
        <f t="shared" si="9"/>
        <v>0</v>
      </c>
    </row>
    <row r="584" spans="1:43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Q584">
        <f t="shared" si="9"/>
        <v>0</v>
      </c>
    </row>
    <row r="585" spans="1:43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Q585">
        <f t="shared" si="9"/>
        <v>0</v>
      </c>
    </row>
    <row r="586" spans="1:43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Q586">
        <f t="shared" si="9"/>
        <v>0</v>
      </c>
    </row>
    <row r="587" spans="1:43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Q587">
        <f t="shared" si="9"/>
        <v>1</v>
      </c>
    </row>
    <row r="588" spans="1:43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Q588">
        <f t="shared" si="9"/>
        <v>0</v>
      </c>
    </row>
    <row r="589" spans="1:43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Q589">
        <f t="shared" si="9"/>
        <v>0</v>
      </c>
    </row>
    <row r="590" spans="1:43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Q590">
        <f t="shared" si="9"/>
        <v>0</v>
      </c>
    </row>
    <row r="591" spans="1:43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Q591">
        <f t="shared" si="9"/>
        <v>1</v>
      </c>
    </row>
    <row r="592" spans="1:43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Q592">
        <f t="shared" si="9"/>
        <v>0</v>
      </c>
    </row>
    <row r="593" spans="1:43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Q593">
        <f t="shared" si="9"/>
        <v>1</v>
      </c>
    </row>
    <row r="594" spans="1:43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Q594">
        <f t="shared" si="9"/>
        <v>0</v>
      </c>
    </row>
    <row r="595" spans="1:43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Q595">
        <f t="shared" si="9"/>
        <v>0</v>
      </c>
    </row>
    <row r="596" spans="1:43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Q596">
        <f t="shared" si="9"/>
        <v>0</v>
      </c>
    </row>
    <row r="597" spans="1:43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Q597">
        <f t="shared" si="9"/>
        <v>1</v>
      </c>
    </row>
    <row r="598" spans="1:43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Q598">
        <f t="shared" si="9"/>
        <v>0</v>
      </c>
    </row>
    <row r="599" spans="1:43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Q599">
        <f t="shared" si="9"/>
        <v>0</v>
      </c>
    </row>
    <row r="600" spans="1:43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Q600">
        <f t="shared" si="9"/>
        <v>1</v>
      </c>
    </row>
    <row r="601" spans="1:43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Q601">
        <f t="shared" si="9"/>
        <v>0</v>
      </c>
    </row>
    <row r="602" spans="1:43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Q602">
        <f t="shared" si="9"/>
        <v>0</v>
      </c>
    </row>
    <row r="603" spans="1:43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Q603">
        <f t="shared" si="9"/>
        <v>0</v>
      </c>
    </row>
    <row r="604" spans="1:43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Q604">
        <f t="shared" si="9"/>
        <v>0</v>
      </c>
    </row>
    <row r="605" spans="1:43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Q605">
        <f t="shared" si="9"/>
        <v>0</v>
      </c>
    </row>
    <row r="606" spans="1:43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Q606">
        <f t="shared" si="9"/>
        <v>0</v>
      </c>
    </row>
    <row r="607" spans="1:43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Q607">
        <f t="shared" si="9"/>
        <v>0</v>
      </c>
    </row>
    <row r="608" spans="1:43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Q608">
        <f t="shared" si="9"/>
        <v>0</v>
      </c>
    </row>
    <row r="609" spans="1:43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Q609">
        <f t="shared" si="9"/>
        <v>1</v>
      </c>
    </row>
    <row r="610" spans="1:43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Q610">
        <f t="shared" si="9"/>
        <v>1</v>
      </c>
    </row>
    <row r="611" spans="1:43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Q611">
        <f t="shared" si="9"/>
        <v>0</v>
      </c>
    </row>
    <row r="612" spans="1:43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Q612">
        <f t="shared" si="9"/>
        <v>0</v>
      </c>
    </row>
    <row r="613" spans="1:43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Q613">
        <f t="shared" si="9"/>
        <v>0</v>
      </c>
    </row>
    <row r="614" spans="1:43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Q614">
        <f t="shared" si="9"/>
        <v>0</v>
      </c>
    </row>
    <row r="615" spans="1:43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Q615">
        <f t="shared" si="9"/>
        <v>0</v>
      </c>
    </row>
    <row r="616" spans="1:43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Q616">
        <f t="shared" si="9"/>
        <v>1</v>
      </c>
    </row>
    <row r="617" spans="1:43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Q617">
        <f t="shared" si="9"/>
        <v>0</v>
      </c>
    </row>
    <row r="618" spans="1:43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Q618">
        <f t="shared" si="9"/>
        <v>0</v>
      </c>
    </row>
    <row r="619" spans="1:43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Q619">
        <f t="shared" si="9"/>
        <v>0</v>
      </c>
    </row>
    <row r="620" spans="1:43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Q620">
        <f t="shared" si="9"/>
        <v>0</v>
      </c>
    </row>
    <row r="621" spans="1:43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Q621">
        <f t="shared" si="9"/>
        <v>0</v>
      </c>
    </row>
    <row r="622" spans="1:43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Q622">
        <f t="shared" si="9"/>
        <v>0</v>
      </c>
    </row>
    <row r="623" spans="1:43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Q623">
        <f t="shared" si="9"/>
        <v>0</v>
      </c>
    </row>
    <row r="624" spans="1:43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Q624">
        <f t="shared" si="9"/>
        <v>0</v>
      </c>
    </row>
    <row r="625" spans="1:43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Q625">
        <f t="shared" si="9"/>
        <v>0</v>
      </c>
    </row>
    <row r="626" spans="1:43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Q626">
        <f t="shared" si="9"/>
        <v>0</v>
      </c>
    </row>
    <row r="627" spans="1:43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Q627">
        <f t="shared" si="9"/>
        <v>0</v>
      </c>
    </row>
    <row r="628" spans="1:43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Q628">
        <f t="shared" si="9"/>
        <v>0</v>
      </c>
    </row>
    <row r="629" spans="1:43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Q629">
        <f t="shared" si="9"/>
        <v>0</v>
      </c>
    </row>
    <row r="630" spans="1:43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Q630">
        <f t="shared" si="9"/>
        <v>0</v>
      </c>
    </row>
    <row r="631" spans="1:43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Q631">
        <f t="shared" si="9"/>
        <v>0</v>
      </c>
    </row>
    <row r="632" spans="1:43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Q632">
        <f t="shared" si="9"/>
        <v>0</v>
      </c>
    </row>
    <row r="633" spans="1:43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Q633">
        <f t="shared" si="9"/>
        <v>0</v>
      </c>
    </row>
    <row r="634" spans="1:43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Q634">
        <f t="shared" si="9"/>
        <v>0</v>
      </c>
    </row>
    <row r="635" spans="1:43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Q635">
        <f t="shared" si="9"/>
        <v>0</v>
      </c>
    </row>
    <row r="636" spans="1:43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Q636">
        <f t="shared" si="9"/>
        <v>0</v>
      </c>
    </row>
    <row r="637" spans="1:43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Q637">
        <f t="shared" si="9"/>
        <v>0</v>
      </c>
    </row>
    <row r="638" spans="1:43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Q638">
        <f t="shared" si="9"/>
        <v>1</v>
      </c>
    </row>
    <row r="639" spans="1:43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Q639">
        <f t="shared" si="9"/>
        <v>0</v>
      </c>
    </row>
    <row r="640" spans="1:43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Q640">
        <f t="shared" si="9"/>
        <v>0</v>
      </c>
    </row>
    <row r="641" spans="1:43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Q641">
        <f t="shared" si="9"/>
        <v>0</v>
      </c>
    </row>
    <row r="642" spans="1:43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Q642">
        <f t="shared" si="9"/>
        <v>0</v>
      </c>
    </row>
    <row r="643" spans="1:43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Q643">
        <f t="shared" ref="AQ643:AQ706" si="10">IF(B643="Yes",1,0)</f>
        <v>0</v>
      </c>
    </row>
    <row r="644" spans="1:43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Q644">
        <f t="shared" si="10"/>
        <v>0</v>
      </c>
    </row>
    <row r="645" spans="1:43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Q645">
        <f t="shared" si="10"/>
        <v>0</v>
      </c>
    </row>
    <row r="646" spans="1:43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Q646">
        <f t="shared" si="10"/>
        <v>0</v>
      </c>
    </row>
    <row r="647" spans="1:43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Q647">
        <f t="shared" si="10"/>
        <v>1</v>
      </c>
    </row>
    <row r="648" spans="1:43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Q648">
        <f t="shared" si="10"/>
        <v>0</v>
      </c>
    </row>
    <row r="649" spans="1:43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Q649">
        <f t="shared" si="10"/>
        <v>0</v>
      </c>
    </row>
    <row r="650" spans="1:43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Q650">
        <f t="shared" si="10"/>
        <v>0</v>
      </c>
    </row>
    <row r="651" spans="1:43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Q651">
        <f t="shared" si="10"/>
        <v>0</v>
      </c>
    </row>
    <row r="652" spans="1:43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Q652">
        <f t="shared" si="10"/>
        <v>0</v>
      </c>
    </row>
    <row r="653" spans="1:43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Q653">
        <f t="shared" si="10"/>
        <v>0</v>
      </c>
    </row>
    <row r="654" spans="1:43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Q654">
        <f t="shared" si="10"/>
        <v>0</v>
      </c>
    </row>
    <row r="655" spans="1:43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Q655">
        <f t="shared" si="10"/>
        <v>0</v>
      </c>
    </row>
    <row r="656" spans="1:43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Q656">
        <f t="shared" si="10"/>
        <v>0</v>
      </c>
    </row>
    <row r="657" spans="1:43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Q657">
        <f t="shared" si="10"/>
        <v>0</v>
      </c>
    </row>
    <row r="658" spans="1:43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Q658">
        <f t="shared" si="10"/>
        <v>1</v>
      </c>
    </row>
    <row r="659" spans="1:43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Q659">
        <f t="shared" si="10"/>
        <v>0</v>
      </c>
    </row>
    <row r="660" spans="1:43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Q660">
        <f t="shared" si="10"/>
        <v>0</v>
      </c>
    </row>
    <row r="661" spans="1:43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Q661">
        <f t="shared" si="10"/>
        <v>0</v>
      </c>
    </row>
    <row r="662" spans="1:43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Q662">
        <f t="shared" si="10"/>
        <v>1</v>
      </c>
    </row>
    <row r="663" spans="1:43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Q663">
        <f t="shared" si="10"/>
        <v>0</v>
      </c>
    </row>
    <row r="664" spans="1:43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Q664">
        <f t="shared" si="10"/>
        <v>1</v>
      </c>
    </row>
    <row r="665" spans="1:43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Q665">
        <f t="shared" si="10"/>
        <v>1</v>
      </c>
    </row>
    <row r="666" spans="1:43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Q666">
        <f t="shared" si="10"/>
        <v>0</v>
      </c>
    </row>
    <row r="667" spans="1:43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Q667">
        <f t="shared" si="10"/>
        <v>0</v>
      </c>
    </row>
    <row r="668" spans="1:43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Q668">
        <f t="shared" si="10"/>
        <v>1</v>
      </c>
    </row>
    <row r="669" spans="1:43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Q669">
        <f t="shared" si="10"/>
        <v>1</v>
      </c>
    </row>
    <row r="670" spans="1:43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Q670">
        <f t="shared" si="10"/>
        <v>0</v>
      </c>
    </row>
    <row r="671" spans="1:43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Q671">
        <f t="shared" si="10"/>
        <v>1</v>
      </c>
    </row>
    <row r="672" spans="1:43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Q672">
        <f t="shared" si="10"/>
        <v>0</v>
      </c>
    </row>
    <row r="673" spans="1:43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Q673">
        <f t="shared" si="10"/>
        <v>0</v>
      </c>
    </row>
    <row r="674" spans="1:43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Q674">
        <f t="shared" si="10"/>
        <v>0</v>
      </c>
    </row>
    <row r="675" spans="1:43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Q675">
        <f t="shared" si="10"/>
        <v>0</v>
      </c>
    </row>
    <row r="676" spans="1:43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Q676">
        <f t="shared" si="10"/>
        <v>0</v>
      </c>
    </row>
    <row r="677" spans="1:43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Q677">
        <f t="shared" si="10"/>
        <v>0</v>
      </c>
    </row>
    <row r="678" spans="1:43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Q678">
        <f t="shared" si="10"/>
        <v>0</v>
      </c>
    </row>
    <row r="679" spans="1:43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Q679">
        <f t="shared" si="10"/>
        <v>0</v>
      </c>
    </row>
    <row r="680" spans="1:43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Q680">
        <f t="shared" si="10"/>
        <v>0</v>
      </c>
    </row>
    <row r="681" spans="1:43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Q681">
        <f t="shared" si="10"/>
        <v>0</v>
      </c>
    </row>
    <row r="682" spans="1:43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Q682">
        <f t="shared" si="10"/>
        <v>0</v>
      </c>
    </row>
    <row r="683" spans="1:43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Q683">
        <f t="shared" si="10"/>
        <v>0</v>
      </c>
    </row>
    <row r="684" spans="1:43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Q684">
        <f t="shared" si="10"/>
        <v>0</v>
      </c>
    </row>
    <row r="685" spans="1:43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Q685">
        <f t="shared" si="10"/>
        <v>1</v>
      </c>
    </row>
    <row r="686" spans="1:43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Q686">
        <f t="shared" si="10"/>
        <v>0</v>
      </c>
    </row>
    <row r="687" spans="1:43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Q687">
        <f t="shared" si="10"/>
        <v>0</v>
      </c>
    </row>
    <row r="688" spans="1:43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Q688">
        <f t="shared" si="10"/>
        <v>0</v>
      </c>
    </row>
    <row r="689" spans="1:43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Q689">
        <f t="shared" si="10"/>
        <v>0</v>
      </c>
    </row>
    <row r="690" spans="1:43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Q690">
        <f t="shared" si="10"/>
        <v>1</v>
      </c>
    </row>
    <row r="691" spans="1:43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Q691">
        <f t="shared" si="10"/>
        <v>1</v>
      </c>
    </row>
    <row r="692" spans="1:43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Q692">
        <f t="shared" si="10"/>
        <v>0</v>
      </c>
    </row>
    <row r="693" spans="1:43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Q693">
        <f t="shared" si="10"/>
        <v>0</v>
      </c>
    </row>
    <row r="694" spans="1:43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Q694">
        <f t="shared" si="10"/>
        <v>0</v>
      </c>
    </row>
    <row r="695" spans="1:43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Q695">
        <f t="shared" si="10"/>
        <v>1</v>
      </c>
    </row>
    <row r="696" spans="1:43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Q696">
        <f t="shared" si="10"/>
        <v>0</v>
      </c>
    </row>
    <row r="697" spans="1:43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Q697">
        <f t="shared" si="10"/>
        <v>1</v>
      </c>
    </row>
    <row r="698" spans="1:43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Q698">
        <f t="shared" si="10"/>
        <v>0</v>
      </c>
    </row>
    <row r="699" spans="1:43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Q699">
        <f t="shared" si="10"/>
        <v>0</v>
      </c>
    </row>
    <row r="700" spans="1:43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Q700">
        <f t="shared" si="10"/>
        <v>0</v>
      </c>
    </row>
    <row r="701" spans="1:43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Q701">
        <f t="shared" si="10"/>
        <v>0</v>
      </c>
    </row>
    <row r="702" spans="1:43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Q702">
        <f t="shared" si="10"/>
        <v>1</v>
      </c>
    </row>
    <row r="703" spans="1:43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Q703">
        <f t="shared" si="10"/>
        <v>0</v>
      </c>
    </row>
    <row r="704" spans="1:43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Q704">
        <f t="shared" si="10"/>
        <v>0</v>
      </c>
    </row>
    <row r="705" spans="1:43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Q705">
        <f t="shared" si="10"/>
        <v>0</v>
      </c>
    </row>
    <row r="706" spans="1:43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Q706">
        <f t="shared" si="10"/>
        <v>0</v>
      </c>
    </row>
    <row r="707" spans="1:43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Q707">
        <f t="shared" ref="AQ707:AQ770" si="11">IF(B707="Yes",1,0)</f>
        <v>0</v>
      </c>
    </row>
    <row r="708" spans="1:43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Q708">
        <f t="shared" si="11"/>
        <v>1</v>
      </c>
    </row>
    <row r="709" spans="1:43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Q709">
        <f t="shared" si="11"/>
        <v>0</v>
      </c>
    </row>
    <row r="710" spans="1:43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Q710">
        <f t="shared" si="11"/>
        <v>0</v>
      </c>
    </row>
    <row r="711" spans="1:43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Q711">
        <f t="shared" si="11"/>
        <v>1</v>
      </c>
    </row>
    <row r="712" spans="1:43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Q712">
        <f t="shared" si="11"/>
        <v>0</v>
      </c>
    </row>
    <row r="713" spans="1:43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Q713">
        <f t="shared" si="11"/>
        <v>1</v>
      </c>
    </row>
    <row r="714" spans="1:43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Q714">
        <f t="shared" si="11"/>
        <v>0</v>
      </c>
    </row>
    <row r="715" spans="1:43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Q715">
        <f t="shared" si="11"/>
        <v>0</v>
      </c>
    </row>
    <row r="716" spans="1:43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Q716">
        <f t="shared" si="11"/>
        <v>0</v>
      </c>
    </row>
    <row r="717" spans="1:43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Q717">
        <f t="shared" si="11"/>
        <v>0</v>
      </c>
    </row>
    <row r="718" spans="1:43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Q718">
        <f t="shared" si="11"/>
        <v>0</v>
      </c>
    </row>
    <row r="719" spans="1:43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Q719">
        <f t="shared" si="11"/>
        <v>0</v>
      </c>
    </row>
    <row r="720" spans="1:43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Q720">
        <f t="shared" si="11"/>
        <v>0</v>
      </c>
    </row>
    <row r="721" spans="1:43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Q721">
        <f t="shared" si="11"/>
        <v>0</v>
      </c>
    </row>
    <row r="722" spans="1:43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Q722">
        <f t="shared" si="11"/>
        <v>1</v>
      </c>
    </row>
    <row r="723" spans="1:43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Q723">
        <f t="shared" si="11"/>
        <v>0</v>
      </c>
    </row>
    <row r="724" spans="1:43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Q724">
        <f t="shared" si="11"/>
        <v>0</v>
      </c>
    </row>
    <row r="725" spans="1:43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Q725">
        <f t="shared" si="11"/>
        <v>0</v>
      </c>
    </row>
    <row r="726" spans="1:43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Q726">
        <f t="shared" si="11"/>
        <v>0</v>
      </c>
    </row>
    <row r="727" spans="1:43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Q727">
        <f t="shared" si="11"/>
        <v>1</v>
      </c>
    </row>
    <row r="728" spans="1:43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Q728">
        <f t="shared" si="11"/>
        <v>0</v>
      </c>
    </row>
    <row r="729" spans="1:43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Q729">
        <f t="shared" si="11"/>
        <v>0</v>
      </c>
    </row>
    <row r="730" spans="1:43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Q730">
        <f t="shared" si="11"/>
        <v>0</v>
      </c>
    </row>
    <row r="731" spans="1:43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Q731">
        <f t="shared" si="11"/>
        <v>0</v>
      </c>
    </row>
    <row r="732" spans="1:43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Q732">
        <f t="shared" si="11"/>
        <v>0</v>
      </c>
    </row>
    <row r="733" spans="1:43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Q733">
        <f t="shared" si="11"/>
        <v>1</v>
      </c>
    </row>
    <row r="734" spans="1:43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Q734">
        <f t="shared" si="11"/>
        <v>1</v>
      </c>
    </row>
    <row r="735" spans="1:43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Q735">
        <f t="shared" si="11"/>
        <v>0</v>
      </c>
    </row>
    <row r="736" spans="1:43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Q736">
        <f t="shared" si="11"/>
        <v>0</v>
      </c>
    </row>
    <row r="737" spans="1:43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Q737">
        <f t="shared" si="11"/>
        <v>0</v>
      </c>
    </row>
    <row r="738" spans="1:43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Q738">
        <f t="shared" si="11"/>
        <v>0</v>
      </c>
    </row>
    <row r="739" spans="1:43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Q739">
        <f t="shared" si="11"/>
        <v>0</v>
      </c>
    </row>
    <row r="740" spans="1:43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Q740">
        <f t="shared" si="11"/>
        <v>0</v>
      </c>
    </row>
    <row r="741" spans="1:43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Q741">
        <f t="shared" si="11"/>
        <v>0</v>
      </c>
    </row>
    <row r="742" spans="1:43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Q742">
        <f t="shared" si="11"/>
        <v>0</v>
      </c>
    </row>
    <row r="743" spans="1:43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Q743">
        <f t="shared" si="11"/>
        <v>0</v>
      </c>
    </row>
    <row r="744" spans="1:43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Q744">
        <f t="shared" si="11"/>
        <v>0</v>
      </c>
    </row>
    <row r="745" spans="1:43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Q745">
        <f t="shared" si="11"/>
        <v>0</v>
      </c>
    </row>
    <row r="746" spans="1:43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Q746">
        <f t="shared" si="11"/>
        <v>1</v>
      </c>
    </row>
    <row r="747" spans="1:43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Q747">
        <f t="shared" si="11"/>
        <v>0</v>
      </c>
    </row>
    <row r="748" spans="1:43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Q748">
        <f t="shared" si="11"/>
        <v>0</v>
      </c>
    </row>
    <row r="749" spans="1:43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Q749">
        <f t="shared" si="11"/>
        <v>0</v>
      </c>
    </row>
    <row r="750" spans="1:43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Q750">
        <f t="shared" si="11"/>
        <v>1</v>
      </c>
    </row>
    <row r="751" spans="1:43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Q751">
        <f t="shared" si="11"/>
        <v>1</v>
      </c>
    </row>
    <row r="752" spans="1:43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Q752">
        <f t="shared" si="11"/>
        <v>0</v>
      </c>
    </row>
    <row r="753" spans="1:43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Q753">
        <f t="shared" si="11"/>
        <v>0</v>
      </c>
    </row>
    <row r="754" spans="1:43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Q754">
        <f t="shared" si="11"/>
        <v>1</v>
      </c>
    </row>
    <row r="755" spans="1:43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Q755">
        <f t="shared" si="11"/>
        <v>0</v>
      </c>
    </row>
    <row r="756" spans="1:43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Q756">
        <f t="shared" si="11"/>
        <v>0</v>
      </c>
    </row>
    <row r="757" spans="1:43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Q757">
        <f t="shared" si="11"/>
        <v>0</v>
      </c>
    </row>
    <row r="758" spans="1:43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Q758">
        <f t="shared" si="11"/>
        <v>0</v>
      </c>
    </row>
    <row r="759" spans="1:43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Q759">
        <f t="shared" si="11"/>
        <v>0</v>
      </c>
    </row>
    <row r="760" spans="1:43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Q760">
        <f t="shared" si="11"/>
        <v>0</v>
      </c>
    </row>
    <row r="761" spans="1:43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Q761">
        <f t="shared" si="11"/>
        <v>0</v>
      </c>
    </row>
    <row r="762" spans="1:43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Q762">
        <f t="shared" si="11"/>
        <v>0</v>
      </c>
    </row>
    <row r="763" spans="1:43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Q763">
        <f t="shared" si="11"/>
        <v>1</v>
      </c>
    </row>
    <row r="764" spans="1:43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Q764">
        <f t="shared" si="11"/>
        <v>1</v>
      </c>
    </row>
    <row r="765" spans="1:43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Q765">
        <f t="shared" si="11"/>
        <v>0</v>
      </c>
    </row>
    <row r="766" spans="1:43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Q766">
        <f t="shared" si="11"/>
        <v>0</v>
      </c>
    </row>
    <row r="767" spans="1:43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Q767">
        <f t="shared" si="11"/>
        <v>0</v>
      </c>
    </row>
    <row r="768" spans="1:43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Q768">
        <f t="shared" si="11"/>
        <v>0</v>
      </c>
    </row>
    <row r="769" spans="1:43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Q769">
        <f t="shared" si="11"/>
        <v>0</v>
      </c>
    </row>
    <row r="770" spans="1:43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Q770">
        <f t="shared" si="11"/>
        <v>0</v>
      </c>
    </row>
    <row r="771" spans="1:43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Q771">
        <f t="shared" ref="AQ771:AQ834" si="12">IF(B771="Yes",1,0)</f>
        <v>0</v>
      </c>
    </row>
    <row r="772" spans="1:43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Q772">
        <f t="shared" si="12"/>
        <v>0</v>
      </c>
    </row>
    <row r="773" spans="1:43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Q773">
        <f t="shared" si="12"/>
        <v>0</v>
      </c>
    </row>
    <row r="774" spans="1:43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Q774">
        <f t="shared" si="12"/>
        <v>0</v>
      </c>
    </row>
    <row r="775" spans="1:43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Q775">
        <f t="shared" si="12"/>
        <v>0</v>
      </c>
    </row>
    <row r="776" spans="1:43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Q776">
        <f t="shared" si="12"/>
        <v>0</v>
      </c>
    </row>
    <row r="777" spans="1:43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Q777">
        <f t="shared" si="12"/>
        <v>0</v>
      </c>
    </row>
    <row r="778" spans="1:43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Q778">
        <f t="shared" si="12"/>
        <v>1</v>
      </c>
    </row>
    <row r="779" spans="1:43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Q779">
        <f t="shared" si="12"/>
        <v>1</v>
      </c>
    </row>
    <row r="780" spans="1:43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Q780">
        <f t="shared" si="12"/>
        <v>0</v>
      </c>
    </row>
    <row r="781" spans="1:43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Q781">
        <f t="shared" si="12"/>
        <v>1</v>
      </c>
    </row>
    <row r="782" spans="1:43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Q782">
        <f t="shared" si="12"/>
        <v>1</v>
      </c>
    </row>
    <row r="783" spans="1:43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Q783">
        <f t="shared" si="12"/>
        <v>0</v>
      </c>
    </row>
    <row r="784" spans="1:43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Q784">
        <f t="shared" si="12"/>
        <v>0</v>
      </c>
    </row>
    <row r="785" spans="1:43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Q785">
        <f t="shared" si="12"/>
        <v>0</v>
      </c>
    </row>
    <row r="786" spans="1:43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Q786">
        <f t="shared" si="12"/>
        <v>0</v>
      </c>
    </row>
    <row r="787" spans="1:43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Q787">
        <f t="shared" si="12"/>
        <v>0</v>
      </c>
    </row>
    <row r="788" spans="1:43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Q788">
        <f t="shared" si="12"/>
        <v>0</v>
      </c>
    </row>
    <row r="789" spans="1:43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Q789">
        <f t="shared" si="12"/>
        <v>0</v>
      </c>
    </row>
    <row r="790" spans="1:43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Q790">
        <f t="shared" si="12"/>
        <v>0</v>
      </c>
    </row>
    <row r="791" spans="1:43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Q791">
        <f t="shared" si="12"/>
        <v>1</v>
      </c>
    </row>
    <row r="792" spans="1:43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Q792">
        <f t="shared" si="12"/>
        <v>0</v>
      </c>
    </row>
    <row r="793" spans="1:43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Q793">
        <f t="shared" si="12"/>
        <v>1</v>
      </c>
    </row>
    <row r="794" spans="1:43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Q794">
        <f t="shared" si="12"/>
        <v>1</v>
      </c>
    </row>
    <row r="795" spans="1:43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Q795">
        <f t="shared" si="12"/>
        <v>0</v>
      </c>
    </row>
    <row r="796" spans="1:43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Q796">
        <f t="shared" si="12"/>
        <v>0</v>
      </c>
    </row>
    <row r="797" spans="1:43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Q797">
        <f t="shared" si="12"/>
        <v>0</v>
      </c>
    </row>
    <row r="798" spans="1:43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Q798">
        <f t="shared" si="12"/>
        <v>1</v>
      </c>
    </row>
    <row r="799" spans="1:43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Q799">
        <f t="shared" si="12"/>
        <v>1</v>
      </c>
    </row>
    <row r="800" spans="1:43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Q800">
        <f t="shared" si="12"/>
        <v>1</v>
      </c>
    </row>
    <row r="801" spans="1:43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Q801">
        <f t="shared" si="12"/>
        <v>0</v>
      </c>
    </row>
    <row r="802" spans="1:43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Q802">
        <f t="shared" si="12"/>
        <v>1</v>
      </c>
    </row>
    <row r="803" spans="1:43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Q803">
        <f t="shared" si="12"/>
        <v>1</v>
      </c>
    </row>
    <row r="804" spans="1:43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Q804">
        <f t="shared" si="12"/>
        <v>0</v>
      </c>
    </row>
    <row r="805" spans="1:43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Q805">
        <f t="shared" si="12"/>
        <v>0</v>
      </c>
    </row>
    <row r="806" spans="1:43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Q806">
        <f t="shared" si="12"/>
        <v>0</v>
      </c>
    </row>
    <row r="807" spans="1:43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Q807">
        <f t="shared" si="12"/>
        <v>0</v>
      </c>
    </row>
    <row r="808" spans="1:43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Q808">
        <f t="shared" si="12"/>
        <v>0</v>
      </c>
    </row>
    <row r="809" spans="1:43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Q809">
        <f t="shared" si="12"/>
        <v>0</v>
      </c>
    </row>
    <row r="810" spans="1:43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Q810">
        <f t="shared" si="12"/>
        <v>0</v>
      </c>
    </row>
    <row r="811" spans="1:43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Q811">
        <f t="shared" si="12"/>
        <v>0</v>
      </c>
    </row>
    <row r="812" spans="1:43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Q812">
        <f t="shared" si="12"/>
        <v>0</v>
      </c>
    </row>
    <row r="813" spans="1:43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Q813">
        <f t="shared" si="12"/>
        <v>0</v>
      </c>
    </row>
    <row r="814" spans="1:43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Q814">
        <f t="shared" si="12"/>
        <v>0</v>
      </c>
    </row>
    <row r="815" spans="1:43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Q815">
        <f t="shared" si="12"/>
        <v>1</v>
      </c>
    </row>
    <row r="816" spans="1:43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Q816">
        <f t="shared" si="12"/>
        <v>0</v>
      </c>
    </row>
    <row r="817" spans="1:43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Q817">
        <f t="shared" si="12"/>
        <v>0</v>
      </c>
    </row>
    <row r="818" spans="1:43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Q818">
        <f t="shared" si="12"/>
        <v>0</v>
      </c>
    </row>
    <row r="819" spans="1:43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Q819">
        <f t="shared" si="12"/>
        <v>0</v>
      </c>
    </row>
    <row r="820" spans="1:43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Q820">
        <f t="shared" si="12"/>
        <v>0</v>
      </c>
    </row>
    <row r="821" spans="1:43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Q821">
        <f t="shared" si="12"/>
        <v>0</v>
      </c>
    </row>
    <row r="822" spans="1:43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Q822">
        <f t="shared" si="12"/>
        <v>0</v>
      </c>
    </row>
    <row r="823" spans="1:43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Q823">
        <f t="shared" si="12"/>
        <v>0</v>
      </c>
    </row>
    <row r="824" spans="1:43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Q824">
        <f t="shared" si="12"/>
        <v>0</v>
      </c>
    </row>
    <row r="825" spans="1:43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Q825">
        <f t="shared" si="12"/>
        <v>0</v>
      </c>
    </row>
    <row r="826" spans="1:43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Q826">
        <f t="shared" si="12"/>
        <v>0</v>
      </c>
    </row>
    <row r="827" spans="1:43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Q827">
        <f t="shared" si="12"/>
        <v>0</v>
      </c>
    </row>
    <row r="828" spans="1:43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Q828">
        <f t="shared" si="12"/>
        <v>0</v>
      </c>
    </row>
    <row r="829" spans="1:43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Q829">
        <f t="shared" si="12"/>
        <v>0</v>
      </c>
    </row>
    <row r="830" spans="1:43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Q830">
        <f t="shared" si="12"/>
        <v>1</v>
      </c>
    </row>
    <row r="831" spans="1:43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Q831">
        <f t="shared" si="12"/>
        <v>1</v>
      </c>
    </row>
    <row r="832" spans="1:43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Q832">
        <f t="shared" si="12"/>
        <v>0</v>
      </c>
    </row>
    <row r="833" spans="1:43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Q833">
        <f t="shared" si="12"/>
        <v>1</v>
      </c>
    </row>
    <row r="834" spans="1:43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Q834">
        <f t="shared" si="12"/>
        <v>0</v>
      </c>
    </row>
    <row r="835" spans="1:43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Q835">
        <f t="shared" ref="AQ835:AQ898" si="13">IF(B835="Yes",1,0)</f>
        <v>0</v>
      </c>
    </row>
    <row r="836" spans="1:43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Q836">
        <f t="shared" si="13"/>
        <v>0</v>
      </c>
    </row>
    <row r="837" spans="1:43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Q837">
        <f t="shared" si="13"/>
        <v>0</v>
      </c>
    </row>
    <row r="838" spans="1:43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Q838">
        <f t="shared" si="13"/>
        <v>1</v>
      </c>
    </row>
    <row r="839" spans="1:43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Q839">
        <f t="shared" si="13"/>
        <v>0</v>
      </c>
    </row>
    <row r="840" spans="1:43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Q840">
        <f t="shared" si="13"/>
        <v>1</v>
      </c>
    </row>
    <row r="841" spans="1:43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Q841">
        <f t="shared" si="13"/>
        <v>0</v>
      </c>
    </row>
    <row r="842" spans="1:43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Q842">
        <f t="shared" si="13"/>
        <v>0</v>
      </c>
    </row>
    <row r="843" spans="1:43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Q843">
        <f t="shared" si="13"/>
        <v>0</v>
      </c>
    </row>
    <row r="844" spans="1:43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Q844">
        <f t="shared" si="13"/>
        <v>1</v>
      </c>
    </row>
    <row r="845" spans="1:43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Q845">
        <f t="shared" si="13"/>
        <v>0</v>
      </c>
    </row>
    <row r="846" spans="1:43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Q846">
        <f t="shared" si="13"/>
        <v>0</v>
      </c>
    </row>
    <row r="847" spans="1:43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Q847">
        <f t="shared" si="13"/>
        <v>0</v>
      </c>
    </row>
    <row r="848" spans="1:43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Q848">
        <f t="shared" si="13"/>
        <v>0</v>
      </c>
    </row>
    <row r="849" spans="1:43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Q849">
        <f t="shared" si="13"/>
        <v>0</v>
      </c>
    </row>
    <row r="850" spans="1:43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Q850">
        <f t="shared" si="13"/>
        <v>0</v>
      </c>
    </row>
    <row r="851" spans="1:43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Q851">
        <f t="shared" si="13"/>
        <v>1</v>
      </c>
    </row>
    <row r="852" spans="1:43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Q852">
        <f t="shared" si="13"/>
        <v>0</v>
      </c>
    </row>
    <row r="853" spans="1:43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Q853">
        <f t="shared" si="13"/>
        <v>0</v>
      </c>
    </row>
    <row r="854" spans="1:43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Q854">
        <f t="shared" si="13"/>
        <v>0</v>
      </c>
    </row>
    <row r="855" spans="1:43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Q855">
        <f t="shared" si="13"/>
        <v>0</v>
      </c>
    </row>
    <row r="856" spans="1:43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Q856">
        <f t="shared" si="13"/>
        <v>0</v>
      </c>
    </row>
    <row r="857" spans="1:43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Q857">
        <f t="shared" si="13"/>
        <v>0</v>
      </c>
    </row>
    <row r="858" spans="1:43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Q858">
        <f t="shared" si="13"/>
        <v>0</v>
      </c>
    </row>
    <row r="859" spans="1:43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Q859">
        <f t="shared" si="13"/>
        <v>1</v>
      </c>
    </row>
    <row r="860" spans="1:43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Q860">
        <f t="shared" si="13"/>
        <v>0</v>
      </c>
    </row>
    <row r="861" spans="1:43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Q861">
        <f t="shared" si="13"/>
        <v>0</v>
      </c>
    </row>
    <row r="862" spans="1:43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Q862">
        <f t="shared" si="13"/>
        <v>1</v>
      </c>
    </row>
    <row r="863" spans="1:43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Q863">
        <f t="shared" si="13"/>
        <v>0</v>
      </c>
    </row>
    <row r="864" spans="1:43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Q864">
        <f t="shared" si="13"/>
        <v>0</v>
      </c>
    </row>
    <row r="865" spans="1:43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Q865">
        <f t="shared" si="13"/>
        <v>0</v>
      </c>
    </row>
    <row r="866" spans="1:43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Q866">
        <f t="shared" si="13"/>
        <v>1</v>
      </c>
    </row>
    <row r="867" spans="1:43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Q867">
        <f t="shared" si="13"/>
        <v>0</v>
      </c>
    </row>
    <row r="868" spans="1:43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Q868">
        <f t="shared" si="13"/>
        <v>0</v>
      </c>
    </row>
    <row r="869" spans="1:43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Q869">
        <f t="shared" si="13"/>
        <v>0</v>
      </c>
    </row>
    <row r="870" spans="1:43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Q870">
        <f t="shared" si="13"/>
        <v>0</v>
      </c>
    </row>
    <row r="871" spans="1:43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Q871">
        <f t="shared" si="13"/>
        <v>0</v>
      </c>
    </row>
    <row r="872" spans="1:43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Q872">
        <f t="shared" si="13"/>
        <v>0</v>
      </c>
    </row>
    <row r="873" spans="1:43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Q873">
        <f t="shared" si="13"/>
        <v>1</v>
      </c>
    </row>
    <row r="874" spans="1:43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Q874">
        <f t="shared" si="13"/>
        <v>0</v>
      </c>
    </row>
    <row r="875" spans="1:43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Q875">
        <f t="shared" si="13"/>
        <v>0</v>
      </c>
    </row>
    <row r="876" spans="1:43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Q876">
        <f t="shared" si="13"/>
        <v>0</v>
      </c>
    </row>
    <row r="877" spans="1:43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Q877">
        <f t="shared" si="13"/>
        <v>0</v>
      </c>
    </row>
    <row r="878" spans="1:43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Q878">
        <f t="shared" si="13"/>
        <v>0</v>
      </c>
    </row>
    <row r="879" spans="1:43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Q879">
        <f t="shared" si="13"/>
        <v>0</v>
      </c>
    </row>
    <row r="880" spans="1:43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Q880">
        <f t="shared" si="13"/>
        <v>0</v>
      </c>
    </row>
    <row r="881" spans="1:43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Q881">
        <f t="shared" si="13"/>
        <v>0</v>
      </c>
    </row>
    <row r="882" spans="1:43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Q882">
        <f t="shared" si="13"/>
        <v>0</v>
      </c>
    </row>
    <row r="883" spans="1:43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Q883">
        <f t="shared" si="13"/>
        <v>0</v>
      </c>
    </row>
    <row r="884" spans="1:43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Q884">
        <f t="shared" si="13"/>
        <v>0</v>
      </c>
    </row>
    <row r="885" spans="1:43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Q885">
        <f t="shared" si="13"/>
        <v>0</v>
      </c>
    </row>
    <row r="886" spans="1:43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Q886">
        <f t="shared" si="13"/>
        <v>0</v>
      </c>
    </row>
    <row r="887" spans="1:43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Q887">
        <f t="shared" si="13"/>
        <v>0</v>
      </c>
    </row>
    <row r="888" spans="1:43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Q888">
        <f t="shared" si="13"/>
        <v>0</v>
      </c>
    </row>
    <row r="889" spans="1:43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Q889">
        <f t="shared" si="13"/>
        <v>0</v>
      </c>
    </row>
    <row r="890" spans="1:43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Q890">
        <f t="shared" si="13"/>
        <v>0</v>
      </c>
    </row>
    <row r="891" spans="1:43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Q891">
        <f t="shared" si="13"/>
        <v>0</v>
      </c>
    </row>
    <row r="892" spans="1:43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Q892">
        <f t="shared" si="13"/>
        <v>0</v>
      </c>
    </row>
    <row r="893" spans="1:43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Q893">
        <f t="shared" si="13"/>
        <v>0</v>
      </c>
    </row>
    <row r="894" spans="1:43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Q894">
        <f t="shared" si="13"/>
        <v>1</v>
      </c>
    </row>
    <row r="895" spans="1:43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Q895">
        <f t="shared" si="13"/>
        <v>0</v>
      </c>
    </row>
    <row r="896" spans="1:43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Q896">
        <f t="shared" si="13"/>
        <v>0</v>
      </c>
    </row>
    <row r="897" spans="1:43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Q897">
        <f t="shared" si="13"/>
        <v>0</v>
      </c>
    </row>
    <row r="898" spans="1:43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Q898">
        <f t="shared" si="13"/>
        <v>0</v>
      </c>
    </row>
    <row r="899" spans="1:43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Q899">
        <f t="shared" ref="AQ899:AQ962" si="14">IF(B899="Yes",1,0)</f>
        <v>0</v>
      </c>
    </row>
    <row r="900" spans="1:43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Q900">
        <f t="shared" si="14"/>
        <v>0</v>
      </c>
    </row>
    <row r="901" spans="1:43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Q901">
        <f t="shared" si="14"/>
        <v>0</v>
      </c>
    </row>
    <row r="902" spans="1:43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Q902">
        <f t="shared" si="14"/>
        <v>0</v>
      </c>
    </row>
    <row r="903" spans="1:43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Q903">
        <f t="shared" si="14"/>
        <v>0</v>
      </c>
    </row>
    <row r="904" spans="1:43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Q904">
        <f t="shared" si="14"/>
        <v>0</v>
      </c>
    </row>
    <row r="905" spans="1:43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Q905">
        <f t="shared" si="14"/>
        <v>0</v>
      </c>
    </row>
    <row r="906" spans="1:43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Q906">
        <f t="shared" si="14"/>
        <v>0</v>
      </c>
    </row>
    <row r="907" spans="1:43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Q907">
        <f t="shared" si="14"/>
        <v>0</v>
      </c>
    </row>
    <row r="908" spans="1:43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Q908">
        <f t="shared" si="14"/>
        <v>0</v>
      </c>
    </row>
    <row r="909" spans="1:43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Q909">
        <f t="shared" si="14"/>
        <v>0</v>
      </c>
    </row>
    <row r="910" spans="1:43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Q910">
        <f t="shared" si="14"/>
        <v>0</v>
      </c>
    </row>
    <row r="911" spans="1:43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Q911">
        <f t="shared" si="14"/>
        <v>0</v>
      </c>
    </row>
    <row r="912" spans="1:43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Q912">
        <f t="shared" si="14"/>
        <v>0</v>
      </c>
    </row>
    <row r="913" spans="1:43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Q913">
        <f t="shared" si="14"/>
        <v>1</v>
      </c>
    </row>
    <row r="914" spans="1:43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Q914">
        <f t="shared" si="14"/>
        <v>0</v>
      </c>
    </row>
    <row r="915" spans="1:43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Q915">
        <f t="shared" si="14"/>
        <v>1</v>
      </c>
    </row>
    <row r="916" spans="1:43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Q916">
        <f t="shared" si="14"/>
        <v>0</v>
      </c>
    </row>
    <row r="917" spans="1:43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Q917">
        <f t="shared" si="14"/>
        <v>1</v>
      </c>
    </row>
    <row r="918" spans="1:43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Q918">
        <f t="shared" si="14"/>
        <v>0</v>
      </c>
    </row>
    <row r="919" spans="1:43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Q919">
        <f t="shared" si="14"/>
        <v>0</v>
      </c>
    </row>
    <row r="920" spans="1:43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Q920">
        <f t="shared" si="14"/>
        <v>0</v>
      </c>
    </row>
    <row r="921" spans="1:43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Q921">
        <f t="shared" si="14"/>
        <v>0</v>
      </c>
    </row>
    <row r="922" spans="1:43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Q922">
        <f t="shared" si="14"/>
        <v>0</v>
      </c>
    </row>
    <row r="923" spans="1:43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Q923">
        <f t="shared" si="14"/>
        <v>0</v>
      </c>
    </row>
    <row r="924" spans="1:43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Q924">
        <f t="shared" si="14"/>
        <v>0</v>
      </c>
    </row>
    <row r="925" spans="1:43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Q925">
        <f t="shared" si="14"/>
        <v>0</v>
      </c>
    </row>
    <row r="926" spans="1:43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Q926">
        <f t="shared" si="14"/>
        <v>0</v>
      </c>
    </row>
    <row r="927" spans="1:43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Q927">
        <f t="shared" si="14"/>
        <v>0</v>
      </c>
    </row>
    <row r="928" spans="1:43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Q928">
        <f t="shared" si="14"/>
        <v>0</v>
      </c>
    </row>
    <row r="929" spans="1:43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Q929">
        <f t="shared" si="14"/>
        <v>0</v>
      </c>
    </row>
    <row r="930" spans="1:43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Q930">
        <f t="shared" si="14"/>
        <v>1</v>
      </c>
    </row>
    <row r="931" spans="1:43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Q931">
        <f t="shared" si="14"/>
        <v>0</v>
      </c>
    </row>
    <row r="932" spans="1:43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Q932">
        <f t="shared" si="14"/>
        <v>0</v>
      </c>
    </row>
    <row r="933" spans="1:43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Q933">
        <f t="shared" si="14"/>
        <v>0</v>
      </c>
    </row>
    <row r="934" spans="1:43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Q934">
        <f t="shared" si="14"/>
        <v>1</v>
      </c>
    </row>
    <row r="935" spans="1:43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Q935">
        <f t="shared" si="14"/>
        <v>0</v>
      </c>
    </row>
    <row r="936" spans="1:43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Q936">
        <f t="shared" si="14"/>
        <v>0</v>
      </c>
    </row>
    <row r="937" spans="1:43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Q937">
        <f t="shared" si="14"/>
        <v>0</v>
      </c>
    </row>
    <row r="938" spans="1:43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Q938">
        <f t="shared" si="14"/>
        <v>0</v>
      </c>
    </row>
    <row r="939" spans="1:43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Q939">
        <f t="shared" si="14"/>
        <v>0</v>
      </c>
    </row>
    <row r="940" spans="1:43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Q940">
        <f t="shared" si="14"/>
        <v>0</v>
      </c>
    </row>
    <row r="941" spans="1:43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Q941">
        <f t="shared" si="14"/>
        <v>1</v>
      </c>
    </row>
    <row r="942" spans="1:43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Q942">
        <f t="shared" si="14"/>
        <v>1</v>
      </c>
    </row>
    <row r="943" spans="1:43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Q943">
        <f t="shared" si="14"/>
        <v>0</v>
      </c>
    </row>
    <row r="944" spans="1:43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Q944">
        <f t="shared" si="14"/>
        <v>0</v>
      </c>
    </row>
    <row r="945" spans="1:43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Q945">
        <f t="shared" si="14"/>
        <v>0</v>
      </c>
    </row>
    <row r="946" spans="1:43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Q946">
        <f t="shared" si="14"/>
        <v>0</v>
      </c>
    </row>
    <row r="947" spans="1:43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Q947">
        <f t="shared" si="14"/>
        <v>0</v>
      </c>
    </row>
    <row r="948" spans="1:43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Q948">
        <f t="shared" si="14"/>
        <v>1</v>
      </c>
    </row>
    <row r="949" spans="1:43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Q949">
        <f t="shared" si="14"/>
        <v>1</v>
      </c>
    </row>
    <row r="950" spans="1:43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Q950">
        <f t="shared" si="14"/>
        <v>0</v>
      </c>
    </row>
    <row r="951" spans="1:43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Q951">
        <f t="shared" si="14"/>
        <v>0</v>
      </c>
    </row>
    <row r="952" spans="1:43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Q952">
        <f t="shared" si="14"/>
        <v>0</v>
      </c>
    </row>
    <row r="953" spans="1:43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Q953">
        <f t="shared" si="14"/>
        <v>0</v>
      </c>
    </row>
    <row r="954" spans="1:43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Q954">
        <f t="shared" si="14"/>
        <v>1</v>
      </c>
    </row>
    <row r="955" spans="1:43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Q955">
        <f t="shared" si="14"/>
        <v>1</v>
      </c>
    </row>
    <row r="956" spans="1:43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Q956">
        <f t="shared" si="14"/>
        <v>0</v>
      </c>
    </row>
    <row r="957" spans="1:43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Q957">
        <f t="shared" si="14"/>
        <v>0</v>
      </c>
    </row>
    <row r="958" spans="1:43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Q958">
        <f t="shared" si="14"/>
        <v>0</v>
      </c>
    </row>
    <row r="959" spans="1:43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Q959">
        <f t="shared" si="14"/>
        <v>0</v>
      </c>
    </row>
    <row r="960" spans="1:43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Q960">
        <f t="shared" si="14"/>
        <v>0</v>
      </c>
    </row>
    <row r="961" spans="1:43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Q961">
        <f t="shared" si="14"/>
        <v>0</v>
      </c>
    </row>
    <row r="962" spans="1:43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Q962">
        <f t="shared" si="14"/>
        <v>0</v>
      </c>
    </row>
    <row r="963" spans="1:43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Q963">
        <f t="shared" ref="AQ963:AQ1026" si="15">IF(B963="Yes",1,0)</f>
        <v>0</v>
      </c>
    </row>
    <row r="964" spans="1:43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Q964">
        <f t="shared" si="15"/>
        <v>0</v>
      </c>
    </row>
    <row r="965" spans="1:43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Q965">
        <f t="shared" si="15"/>
        <v>0</v>
      </c>
    </row>
    <row r="966" spans="1:43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Q966">
        <f t="shared" si="15"/>
        <v>0</v>
      </c>
    </row>
    <row r="967" spans="1:43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Q967">
        <f t="shared" si="15"/>
        <v>0</v>
      </c>
    </row>
    <row r="968" spans="1:43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Q968">
        <f t="shared" si="15"/>
        <v>1</v>
      </c>
    </row>
    <row r="969" spans="1:43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Q969">
        <f t="shared" si="15"/>
        <v>0</v>
      </c>
    </row>
    <row r="970" spans="1:43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Q970">
        <f t="shared" si="15"/>
        <v>0</v>
      </c>
    </row>
    <row r="971" spans="1:43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Q971">
        <f t="shared" si="15"/>
        <v>0</v>
      </c>
    </row>
    <row r="972" spans="1:43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Q972">
        <f t="shared" si="15"/>
        <v>0</v>
      </c>
    </row>
    <row r="973" spans="1:43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Q973">
        <f t="shared" si="15"/>
        <v>0</v>
      </c>
    </row>
    <row r="974" spans="1:43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Q974">
        <f t="shared" si="15"/>
        <v>0</v>
      </c>
    </row>
    <row r="975" spans="1:43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Q975">
        <f t="shared" si="15"/>
        <v>0</v>
      </c>
    </row>
    <row r="976" spans="1:43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Q976">
        <f t="shared" si="15"/>
        <v>0</v>
      </c>
    </row>
    <row r="977" spans="1:43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Q977">
        <f t="shared" si="15"/>
        <v>1</v>
      </c>
    </row>
    <row r="978" spans="1:43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Q978">
        <f t="shared" si="15"/>
        <v>0</v>
      </c>
    </row>
    <row r="979" spans="1:43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Q979">
        <f t="shared" si="15"/>
        <v>0</v>
      </c>
    </row>
    <row r="980" spans="1:43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Q980">
        <f t="shared" si="15"/>
        <v>0</v>
      </c>
    </row>
    <row r="981" spans="1:43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Q981">
        <f t="shared" si="15"/>
        <v>0</v>
      </c>
    </row>
    <row r="982" spans="1:43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Q982">
        <f t="shared" si="15"/>
        <v>1</v>
      </c>
    </row>
    <row r="983" spans="1:43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Q983">
        <f t="shared" si="15"/>
        <v>1</v>
      </c>
    </row>
    <row r="984" spans="1:43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Q984">
        <f t="shared" si="15"/>
        <v>0</v>
      </c>
    </row>
    <row r="985" spans="1:43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Q985">
        <f t="shared" si="15"/>
        <v>0</v>
      </c>
    </row>
    <row r="986" spans="1:43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Q986">
        <f t="shared" si="15"/>
        <v>0</v>
      </c>
    </row>
    <row r="987" spans="1:43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Q987">
        <f t="shared" si="15"/>
        <v>1</v>
      </c>
    </row>
    <row r="988" spans="1:43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Q988">
        <f t="shared" si="15"/>
        <v>0</v>
      </c>
    </row>
    <row r="989" spans="1:43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Q989">
        <f t="shared" si="15"/>
        <v>0</v>
      </c>
    </row>
    <row r="990" spans="1:43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Q990">
        <f t="shared" si="15"/>
        <v>0</v>
      </c>
    </row>
    <row r="991" spans="1:43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Q991">
        <f t="shared" si="15"/>
        <v>0</v>
      </c>
    </row>
    <row r="992" spans="1:43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Q992">
        <f t="shared" si="15"/>
        <v>0</v>
      </c>
    </row>
    <row r="993" spans="1:43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Q993">
        <f t="shared" si="15"/>
        <v>0</v>
      </c>
    </row>
    <row r="994" spans="1:43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Q994">
        <f t="shared" si="15"/>
        <v>0</v>
      </c>
    </row>
    <row r="995" spans="1:43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Q995">
        <f t="shared" si="15"/>
        <v>0</v>
      </c>
    </row>
    <row r="996" spans="1:43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Q996">
        <f t="shared" si="15"/>
        <v>0</v>
      </c>
    </row>
    <row r="997" spans="1:43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Q997">
        <f t="shared" si="15"/>
        <v>0</v>
      </c>
    </row>
    <row r="998" spans="1:43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Q998">
        <f t="shared" si="15"/>
        <v>0</v>
      </c>
    </row>
    <row r="999" spans="1:43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Q999">
        <f t="shared" si="15"/>
        <v>1</v>
      </c>
    </row>
    <row r="1000" spans="1:43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Q1000">
        <f t="shared" si="15"/>
        <v>0</v>
      </c>
    </row>
    <row r="1001" spans="1:43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Q1001">
        <f t="shared" si="15"/>
        <v>0</v>
      </c>
    </row>
    <row r="1002" spans="1:43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Q1002">
        <f t="shared" si="15"/>
        <v>0</v>
      </c>
    </row>
    <row r="1003" spans="1:43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Q1003">
        <f t="shared" si="15"/>
        <v>0</v>
      </c>
    </row>
    <row r="1004" spans="1:43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Q1004">
        <f t="shared" si="15"/>
        <v>0</v>
      </c>
    </row>
    <row r="1005" spans="1:43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Q1005">
        <f t="shared" si="15"/>
        <v>0</v>
      </c>
    </row>
    <row r="1006" spans="1:43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Q1006">
        <f t="shared" si="15"/>
        <v>0</v>
      </c>
    </row>
    <row r="1007" spans="1:43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Q1007">
        <f t="shared" si="15"/>
        <v>0</v>
      </c>
    </row>
    <row r="1008" spans="1:43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Q1008">
        <f t="shared" si="15"/>
        <v>1</v>
      </c>
    </row>
    <row r="1009" spans="1:43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Q1009">
        <f t="shared" si="15"/>
        <v>1</v>
      </c>
    </row>
    <row r="1010" spans="1:43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Q1010">
        <f t="shared" si="15"/>
        <v>0</v>
      </c>
    </row>
    <row r="1011" spans="1:43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Q1011">
        <f t="shared" si="15"/>
        <v>0</v>
      </c>
    </row>
    <row r="1012" spans="1:43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Q1012">
        <f t="shared" si="15"/>
        <v>0</v>
      </c>
    </row>
    <row r="1013" spans="1:43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Q1013">
        <f t="shared" si="15"/>
        <v>0</v>
      </c>
    </row>
    <row r="1014" spans="1:43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Q1014">
        <f t="shared" si="15"/>
        <v>1</v>
      </c>
    </row>
    <row r="1015" spans="1:43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Q1015">
        <f t="shared" si="15"/>
        <v>0</v>
      </c>
    </row>
    <row r="1016" spans="1:43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Q1016">
        <f t="shared" si="15"/>
        <v>0</v>
      </c>
    </row>
    <row r="1017" spans="1:43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Q1017">
        <f t="shared" si="15"/>
        <v>0</v>
      </c>
    </row>
    <row r="1018" spans="1:43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Q1018">
        <f t="shared" si="15"/>
        <v>1</v>
      </c>
    </row>
    <row r="1019" spans="1:43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Q1019">
        <f t="shared" si="15"/>
        <v>0</v>
      </c>
    </row>
    <row r="1020" spans="1:43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Q1020">
        <f t="shared" si="15"/>
        <v>0</v>
      </c>
    </row>
    <row r="1021" spans="1:43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Q1021">
        <f t="shared" si="15"/>
        <v>0</v>
      </c>
    </row>
    <row r="1022" spans="1:43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Q1022">
        <f t="shared" si="15"/>
        <v>0</v>
      </c>
    </row>
    <row r="1023" spans="1:43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Q1023">
        <f t="shared" si="15"/>
        <v>1</v>
      </c>
    </row>
    <row r="1024" spans="1:43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Q1024">
        <f t="shared" si="15"/>
        <v>0</v>
      </c>
    </row>
    <row r="1025" spans="1:43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Q1025">
        <f t="shared" si="15"/>
        <v>0</v>
      </c>
    </row>
    <row r="1026" spans="1:43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Q1026">
        <f t="shared" si="15"/>
        <v>0</v>
      </c>
    </row>
    <row r="1027" spans="1:43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Q1027">
        <f t="shared" ref="AQ1027:AQ1090" si="16">IF(B1027="Yes",1,0)</f>
        <v>0</v>
      </c>
    </row>
    <row r="1028" spans="1:43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Q1028">
        <f t="shared" si="16"/>
        <v>0</v>
      </c>
    </row>
    <row r="1029" spans="1:43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Q1029">
        <f t="shared" si="16"/>
        <v>0</v>
      </c>
    </row>
    <row r="1030" spans="1:43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Q1030">
        <f t="shared" si="16"/>
        <v>0</v>
      </c>
    </row>
    <row r="1031" spans="1:43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Q1031">
        <f t="shared" si="16"/>
        <v>0</v>
      </c>
    </row>
    <row r="1032" spans="1:43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Q1032">
        <f t="shared" si="16"/>
        <v>0</v>
      </c>
    </row>
    <row r="1033" spans="1:43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Q1033">
        <f t="shared" si="16"/>
        <v>1</v>
      </c>
    </row>
    <row r="1034" spans="1:43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Q1034">
        <f t="shared" si="16"/>
        <v>1</v>
      </c>
    </row>
    <row r="1035" spans="1:43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Q1035">
        <f t="shared" si="16"/>
        <v>1</v>
      </c>
    </row>
    <row r="1036" spans="1:43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Q1036">
        <f t="shared" si="16"/>
        <v>0</v>
      </c>
    </row>
    <row r="1037" spans="1:43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Q1037">
        <f t="shared" si="16"/>
        <v>0</v>
      </c>
    </row>
    <row r="1038" spans="1:43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Q1038">
        <f t="shared" si="16"/>
        <v>1</v>
      </c>
    </row>
    <row r="1039" spans="1:43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Q1039">
        <f t="shared" si="16"/>
        <v>0</v>
      </c>
    </row>
    <row r="1040" spans="1:43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Q1040">
        <f t="shared" si="16"/>
        <v>0</v>
      </c>
    </row>
    <row r="1041" spans="1:43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Q1041">
        <f t="shared" si="16"/>
        <v>1</v>
      </c>
    </row>
    <row r="1042" spans="1:43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Q1042">
        <f t="shared" si="16"/>
        <v>0</v>
      </c>
    </row>
    <row r="1043" spans="1:43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Q1043">
        <f t="shared" si="16"/>
        <v>0</v>
      </c>
    </row>
    <row r="1044" spans="1:43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Q1044">
        <f t="shared" si="16"/>
        <v>0</v>
      </c>
    </row>
    <row r="1045" spans="1:43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Q1045">
        <f t="shared" si="16"/>
        <v>0</v>
      </c>
    </row>
    <row r="1046" spans="1:43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Q1046">
        <f t="shared" si="16"/>
        <v>0</v>
      </c>
    </row>
    <row r="1047" spans="1:43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Q1047">
        <f t="shared" si="16"/>
        <v>0</v>
      </c>
    </row>
    <row r="1048" spans="1:43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Q1048">
        <f t="shared" si="16"/>
        <v>0</v>
      </c>
    </row>
    <row r="1049" spans="1:43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Q1049">
        <f t="shared" si="16"/>
        <v>0</v>
      </c>
    </row>
    <row r="1050" spans="1:43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Q1050">
        <f t="shared" si="16"/>
        <v>0</v>
      </c>
    </row>
    <row r="1051" spans="1:43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Q1051">
        <f t="shared" si="16"/>
        <v>0</v>
      </c>
    </row>
    <row r="1052" spans="1:43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Q1052">
        <f t="shared" si="16"/>
        <v>0</v>
      </c>
    </row>
    <row r="1053" spans="1:43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Q1053">
        <f t="shared" si="16"/>
        <v>0</v>
      </c>
    </row>
    <row r="1054" spans="1:43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Q1054">
        <f t="shared" si="16"/>
        <v>0</v>
      </c>
    </row>
    <row r="1055" spans="1:43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Q1055">
        <f t="shared" si="16"/>
        <v>0</v>
      </c>
    </row>
    <row r="1056" spans="1:43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Q1056">
        <f t="shared" si="16"/>
        <v>0</v>
      </c>
    </row>
    <row r="1057" spans="1:43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Q1057">
        <f t="shared" si="16"/>
        <v>0</v>
      </c>
    </row>
    <row r="1058" spans="1:43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Q1058">
        <f t="shared" si="16"/>
        <v>1</v>
      </c>
    </row>
    <row r="1059" spans="1:43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Q1059">
        <f t="shared" si="16"/>
        <v>1</v>
      </c>
    </row>
    <row r="1060" spans="1:43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Q1060">
        <f t="shared" si="16"/>
        <v>1</v>
      </c>
    </row>
    <row r="1061" spans="1:43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Q1061">
        <f t="shared" si="16"/>
        <v>0</v>
      </c>
    </row>
    <row r="1062" spans="1:43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Q1062">
        <f t="shared" si="16"/>
        <v>1</v>
      </c>
    </row>
    <row r="1063" spans="1:43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Q1063">
        <f t="shared" si="16"/>
        <v>0</v>
      </c>
    </row>
    <row r="1064" spans="1:43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Q1064">
        <f t="shared" si="16"/>
        <v>0</v>
      </c>
    </row>
    <row r="1065" spans="1:43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Q1065">
        <f t="shared" si="16"/>
        <v>0</v>
      </c>
    </row>
    <row r="1066" spans="1:43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Q1066">
        <f t="shared" si="16"/>
        <v>0</v>
      </c>
    </row>
    <row r="1067" spans="1:43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Q1067">
        <f t="shared" si="16"/>
        <v>0</v>
      </c>
    </row>
    <row r="1068" spans="1:43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Q1068">
        <f t="shared" si="16"/>
        <v>0</v>
      </c>
    </row>
    <row r="1069" spans="1:43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Q1069">
        <f t="shared" si="16"/>
        <v>0</v>
      </c>
    </row>
    <row r="1070" spans="1:43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Q1070">
        <f t="shared" si="16"/>
        <v>1</v>
      </c>
    </row>
    <row r="1071" spans="1:43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Q1071">
        <f t="shared" si="16"/>
        <v>0</v>
      </c>
    </row>
    <row r="1072" spans="1:43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Q1072">
        <f t="shared" si="16"/>
        <v>0</v>
      </c>
    </row>
    <row r="1073" spans="1:43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Q1073">
        <f t="shared" si="16"/>
        <v>0</v>
      </c>
    </row>
    <row r="1074" spans="1:43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Q1074">
        <f t="shared" si="16"/>
        <v>0</v>
      </c>
    </row>
    <row r="1075" spans="1:43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Q1075">
        <f t="shared" si="16"/>
        <v>0</v>
      </c>
    </row>
    <row r="1076" spans="1:43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Q1076">
        <f t="shared" si="16"/>
        <v>0</v>
      </c>
    </row>
    <row r="1077" spans="1:43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Q1077">
        <f t="shared" si="16"/>
        <v>0</v>
      </c>
    </row>
    <row r="1078" spans="1:43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Q1078">
        <f t="shared" si="16"/>
        <v>0</v>
      </c>
    </row>
    <row r="1079" spans="1:43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Q1079">
        <f t="shared" si="16"/>
        <v>1</v>
      </c>
    </row>
    <row r="1080" spans="1:43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Q1080">
        <f t="shared" si="16"/>
        <v>0</v>
      </c>
    </row>
    <row r="1081" spans="1:43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Q1081">
        <f t="shared" si="16"/>
        <v>0</v>
      </c>
    </row>
    <row r="1082" spans="1:43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Q1082">
        <f t="shared" si="16"/>
        <v>0</v>
      </c>
    </row>
    <row r="1083" spans="1:43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Q1083">
        <f t="shared" si="16"/>
        <v>0</v>
      </c>
    </row>
    <row r="1084" spans="1:43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Q1084">
        <f t="shared" si="16"/>
        <v>0</v>
      </c>
    </row>
    <row r="1085" spans="1:43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Q1085">
        <f t="shared" si="16"/>
        <v>1</v>
      </c>
    </row>
    <row r="1086" spans="1:43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Q1086">
        <f t="shared" si="16"/>
        <v>0</v>
      </c>
    </row>
    <row r="1087" spans="1:43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Q1087">
        <f t="shared" si="16"/>
        <v>1</v>
      </c>
    </row>
    <row r="1088" spans="1:43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Q1088">
        <f t="shared" si="16"/>
        <v>0</v>
      </c>
    </row>
    <row r="1089" spans="1:43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Q1089">
        <f t="shared" si="16"/>
        <v>0</v>
      </c>
    </row>
    <row r="1090" spans="1:43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Q1090">
        <f t="shared" si="16"/>
        <v>0</v>
      </c>
    </row>
    <row r="1091" spans="1:43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Q1091">
        <f t="shared" ref="AQ1091:AQ1154" si="17">IF(B1091="Yes",1,0)</f>
        <v>0</v>
      </c>
    </row>
    <row r="1092" spans="1:43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Q1092">
        <f t="shared" si="17"/>
        <v>0</v>
      </c>
    </row>
    <row r="1093" spans="1:43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Q1093">
        <f t="shared" si="17"/>
        <v>0</v>
      </c>
    </row>
    <row r="1094" spans="1:43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Q1094">
        <f t="shared" si="17"/>
        <v>0</v>
      </c>
    </row>
    <row r="1095" spans="1:43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Q1095">
        <f t="shared" si="17"/>
        <v>0</v>
      </c>
    </row>
    <row r="1096" spans="1:43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Q1096">
        <f t="shared" si="17"/>
        <v>0</v>
      </c>
    </row>
    <row r="1097" spans="1:43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Q1097">
        <f t="shared" si="17"/>
        <v>0</v>
      </c>
    </row>
    <row r="1098" spans="1:43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Q1098">
        <f t="shared" si="17"/>
        <v>0</v>
      </c>
    </row>
    <row r="1099" spans="1:43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Q1099">
        <f t="shared" si="17"/>
        <v>0</v>
      </c>
    </row>
    <row r="1100" spans="1:43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Q1100">
        <f t="shared" si="17"/>
        <v>0</v>
      </c>
    </row>
    <row r="1101" spans="1:43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Q1101">
        <f t="shared" si="17"/>
        <v>0</v>
      </c>
    </row>
    <row r="1102" spans="1:43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Q1102">
        <f t="shared" si="17"/>
        <v>0</v>
      </c>
    </row>
    <row r="1103" spans="1:43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Q1103">
        <f t="shared" si="17"/>
        <v>0</v>
      </c>
    </row>
    <row r="1104" spans="1:43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Q1104">
        <f t="shared" si="17"/>
        <v>0</v>
      </c>
    </row>
    <row r="1105" spans="1:43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Q1105">
        <f t="shared" si="17"/>
        <v>0</v>
      </c>
    </row>
    <row r="1106" spans="1:43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Q1106">
        <f t="shared" si="17"/>
        <v>0</v>
      </c>
    </row>
    <row r="1107" spans="1:43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Q1107">
        <f t="shared" si="17"/>
        <v>0</v>
      </c>
    </row>
    <row r="1108" spans="1:43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Q1108">
        <f t="shared" si="17"/>
        <v>1</v>
      </c>
    </row>
    <row r="1109" spans="1:43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Q1109">
        <f t="shared" si="17"/>
        <v>0</v>
      </c>
    </row>
    <row r="1110" spans="1:43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Q1110">
        <f t="shared" si="17"/>
        <v>0</v>
      </c>
    </row>
    <row r="1111" spans="1:43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Q1111">
        <f t="shared" si="17"/>
        <v>0</v>
      </c>
    </row>
    <row r="1112" spans="1:43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Q1112">
        <f t="shared" si="17"/>
        <v>1</v>
      </c>
    </row>
    <row r="1113" spans="1:43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Q1113">
        <f t="shared" si="17"/>
        <v>1</v>
      </c>
    </row>
    <row r="1114" spans="1:43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Q1114">
        <f t="shared" si="17"/>
        <v>1</v>
      </c>
    </row>
    <row r="1115" spans="1:43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Q1115">
        <f t="shared" si="17"/>
        <v>0</v>
      </c>
    </row>
    <row r="1116" spans="1:43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Q1116">
        <f t="shared" si="17"/>
        <v>0</v>
      </c>
    </row>
    <row r="1117" spans="1:43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Q1117">
        <f t="shared" si="17"/>
        <v>0</v>
      </c>
    </row>
    <row r="1118" spans="1:43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Q1118">
        <f t="shared" si="17"/>
        <v>0</v>
      </c>
    </row>
    <row r="1119" spans="1:43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Q1119">
        <f t="shared" si="17"/>
        <v>0</v>
      </c>
    </row>
    <row r="1120" spans="1:43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Q1120">
        <f t="shared" si="17"/>
        <v>0</v>
      </c>
    </row>
    <row r="1121" spans="1:43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Q1121">
        <f t="shared" si="17"/>
        <v>0</v>
      </c>
    </row>
    <row r="1122" spans="1:43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Q1122">
        <f t="shared" si="17"/>
        <v>0</v>
      </c>
    </row>
    <row r="1123" spans="1:43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Q1123">
        <f t="shared" si="17"/>
        <v>0</v>
      </c>
    </row>
    <row r="1124" spans="1:43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Q1124">
        <f t="shared" si="17"/>
        <v>0</v>
      </c>
    </row>
    <row r="1125" spans="1:43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Q1125">
        <f t="shared" si="17"/>
        <v>0</v>
      </c>
    </row>
    <row r="1126" spans="1:43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Q1126">
        <f t="shared" si="17"/>
        <v>0</v>
      </c>
    </row>
    <row r="1127" spans="1:43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Q1127">
        <f t="shared" si="17"/>
        <v>0</v>
      </c>
    </row>
    <row r="1128" spans="1:43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Q1128">
        <f t="shared" si="17"/>
        <v>0</v>
      </c>
    </row>
    <row r="1129" spans="1:43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Q1129">
        <f t="shared" si="17"/>
        <v>0</v>
      </c>
    </row>
    <row r="1130" spans="1:43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Q1130">
        <f t="shared" si="17"/>
        <v>0</v>
      </c>
    </row>
    <row r="1131" spans="1:43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Q1131">
        <f t="shared" si="17"/>
        <v>0</v>
      </c>
    </row>
    <row r="1132" spans="1:43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Q1132">
        <f t="shared" si="17"/>
        <v>0</v>
      </c>
    </row>
    <row r="1133" spans="1:43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Q1133">
        <f t="shared" si="17"/>
        <v>0</v>
      </c>
    </row>
    <row r="1134" spans="1:43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Q1134">
        <f t="shared" si="17"/>
        <v>0</v>
      </c>
    </row>
    <row r="1135" spans="1:43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Q1135">
        <f t="shared" si="17"/>
        <v>0</v>
      </c>
    </row>
    <row r="1136" spans="1:43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Q1136">
        <f t="shared" si="17"/>
        <v>0</v>
      </c>
    </row>
    <row r="1137" spans="1:43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Q1137">
        <f t="shared" si="17"/>
        <v>0</v>
      </c>
    </row>
    <row r="1138" spans="1:43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Q1138">
        <f t="shared" si="17"/>
        <v>1</v>
      </c>
    </row>
    <row r="1139" spans="1:43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Q1139">
        <f t="shared" si="17"/>
        <v>0</v>
      </c>
    </row>
    <row r="1140" spans="1:43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Q1140">
        <f t="shared" si="17"/>
        <v>0</v>
      </c>
    </row>
    <row r="1141" spans="1:43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Q1141">
        <f t="shared" si="17"/>
        <v>0</v>
      </c>
    </row>
    <row r="1142" spans="1:43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Q1142">
        <f t="shared" si="17"/>
        <v>0</v>
      </c>
    </row>
    <row r="1143" spans="1:43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Q1143">
        <f t="shared" si="17"/>
        <v>0</v>
      </c>
    </row>
    <row r="1144" spans="1:43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Q1144">
        <f t="shared" si="17"/>
        <v>0</v>
      </c>
    </row>
    <row r="1145" spans="1:43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Q1145">
        <f t="shared" si="17"/>
        <v>0</v>
      </c>
    </row>
    <row r="1146" spans="1:43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Q1146">
        <f t="shared" si="17"/>
        <v>0</v>
      </c>
    </row>
    <row r="1147" spans="1:43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Q1147">
        <f t="shared" si="17"/>
        <v>0</v>
      </c>
    </row>
    <row r="1148" spans="1:43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Q1148">
        <f t="shared" si="17"/>
        <v>0</v>
      </c>
    </row>
    <row r="1149" spans="1:43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Q1149">
        <f t="shared" si="17"/>
        <v>0</v>
      </c>
    </row>
    <row r="1150" spans="1:43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Q1150">
        <f t="shared" si="17"/>
        <v>0</v>
      </c>
    </row>
    <row r="1151" spans="1:43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Q1151">
        <f t="shared" si="17"/>
        <v>0</v>
      </c>
    </row>
    <row r="1152" spans="1:43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Q1152">
        <f t="shared" si="17"/>
        <v>0</v>
      </c>
    </row>
    <row r="1153" spans="1:43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Q1153">
        <f t="shared" si="17"/>
        <v>0</v>
      </c>
    </row>
    <row r="1154" spans="1:43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Q1154">
        <f t="shared" si="17"/>
        <v>0</v>
      </c>
    </row>
    <row r="1155" spans="1:43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Q1155">
        <f t="shared" ref="AQ1155:AQ1218" si="18">IF(B1155="Yes",1,0)</f>
        <v>1</v>
      </c>
    </row>
    <row r="1156" spans="1:43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Q1156">
        <f t="shared" si="18"/>
        <v>0</v>
      </c>
    </row>
    <row r="1157" spans="1:43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Q1157">
        <f t="shared" si="18"/>
        <v>0</v>
      </c>
    </row>
    <row r="1158" spans="1:43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Q1158">
        <f t="shared" si="18"/>
        <v>0</v>
      </c>
    </row>
    <row r="1159" spans="1:43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Q1159">
        <f t="shared" si="18"/>
        <v>0</v>
      </c>
    </row>
    <row r="1160" spans="1:43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Q1160">
        <f t="shared" si="18"/>
        <v>0</v>
      </c>
    </row>
    <row r="1161" spans="1:43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Q1161">
        <f t="shared" si="18"/>
        <v>0</v>
      </c>
    </row>
    <row r="1162" spans="1:43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Q1162">
        <f t="shared" si="18"/>
        <v>0</v>
      </c>
    </row>
    <row r="1163" spans="1:43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Q1163">
        <f t="shared" si="18"/>
        <v>0</v>
      </c>
    </row>
    <row r="1164" spans="1:43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Q1164">
        <f t="shared" si="18"/>
        <v>1</v>
      </c>
    </row>
    <row r="1165" spans="1:43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Q1165">
        <f t="shared" si="18"/>
        <v>0</v>
      </c>
    </row>
    <row r="1166" spans="1:43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Q1166">
        <f t="shared" si="18"/>
        <v>0</v>
      </c>
    </row>
    <row r="1167" spans="1:43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Q1167">
        <f t="shared" si="18"/>
        <v>0</v>
      </c>
    </row>
    <row r="1168" spans="1:43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Q1168">
        <f t="shared" si="18"/>
        <v>0</v>
      </c>
    </row>
    <row r="1169" spans="1:43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Q1169">
        <f t="shared" si="18"/>
        <v>1</v>
      </c>
    </row>
    <row r="1170" spans="1:43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Q1170">
        <f t="shared" si="18"/>
        <v>0</v>
      </c>
    </row>
    <row r="1171" spans="1:43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Q1171">
        <f t="shared" si="18"/>
        <v>0</v>
      </c>
    </row>
    <row r="1172" spans="1:43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Q1172">
        <f t="shared" si="18"/>
        <v>0</v>
      </c>
    </row>
    <row r="1173" spans="1:43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Q1173">
        <f t="shared" si="18"/>
        <v>1</v>
      </c>
    </row>
    <row r="1174" spans="1:43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Q1174">
        <f t="shared" si="18"/>
        <v>0</v>
      </c>
    </row>
    <row r="1175" spans="1:43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Q1175">
        <f t="shared" si="18"/>
        <v>0</v>
      </c>
    </row>
    <row r="1176" spans="1:43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Q1176">
        <f t="shared" si="18"/>
        <v>0</v>
      </c>
    </row>
    <row r="1177" spans="1:43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Q1177">
        <f t="shared" si="18"/>
        <v>0</v>
      </c>
    </row>
    <row r="1178" spans="1:43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Q1178">
        <f t="shared" si="18"/>
        <v>0</v>
      </c>
    </row>
    <row r="1179" spans="1:43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Q1179">
        <f t="shared" si="18"/>
        <v>0</v>
      </c>
    </row>
    <row r="1180" spans="1:43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Q1180">
        <f t="shared" si="18"/>
        <v>0</v>
      </c>
    </row>
    <row r="1181" spans="1:43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Q1181">
        <f t="shared" si="18"/>
        <v>0</v>
      </c>
    </row>
    <row r="1182" spans="1:43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Q1182">
        <f t="shared" si="18"/>
        <v>0</v>
      </c>
    </row>
    <row r="1183" spans="1:43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Q1183">
        <f t="shared" si="18"/>
        <v>0</v>
      </c>
    </row>
    <row r="1184" spans="1:43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Q1184">
        <f t="shared" si="18"/>
        <v>0</v>
      </c>
    </row>
    <row r="1185" spans="1:43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Q1185">
        <f t="shared" si="18"/>
        <v>0</v>
      </c>
    </row>
    <row r="1186" spans="1:43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Q1186">
        <f t="shared" si="18"/>
        <v>0</v>
      </c>
    </row>
    <row r="1187" spans="1:43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Q1187">
        <f t="shared" si="18"/>
        <v>0</v>
      </c>
    </row>
    <row r="1188" spans="1:43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Q1188">
        <f t="shared" si="18"/>
        <v>1</v>
      </c>
    </row>
    <row r="1189" spans="1:43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Q1189">
        <f t="shared" si="18"/>
        <v>0</v>
      </c>
    </row>
    <row r="1190" spans="1:43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Q1190">
        <f t="shared" si="18"/>
        <v>0</v>
      </c>
    </row>
    <row r="1191" spans="1:43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Q1191">
        <f t="shared" si="18"/>
        <v>0</v>
      </c>
    </row>
    <row r="1192" spans="1:43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Q1192">
        <f t="shared" si="18"/>
        <v>0</v>
      </c>
    </row>
    <row r="1193" spans="1:43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Q1193">
        <f t="shared" si="18"/>
        <v>0</v>
      </c>
    </row>
    <row r="1194" spans="1:43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Q1194">
        <f t="shared" si="18"/>
        <v>0</v>
      </c>
    </row>
    <row r="1195" spans="1:43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Q1195">
        <f t="shared" si="18"/>
        <v>0</v>
      </c>
    </row>
    <row r="1196" spans="1:43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Q1196">
        <f t="shared" si="18"/>
        <v>0</v>
      </c>
    </row>
    <row r="1197" spans="1:43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Q1197">
        <f t="shared" si="18"/>
        <v>0</v>
      </c>
    </row>
    <row r="1198" spans="1:43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Q1198">
        <f t="shared" si="18"/>
        <v>0</v>
      </c>
    </row>
    <row r="1199" spans="1:43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Q1199">
        <f t="shared" si="18"/>
        <v>0</v>
      </c>
    </row>
    <row r="1200" spans="1:43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Q1200">
        <f t="shared" si="18"/>
        <v>0</v>
      </c>
    </row>
    <row r="1201" spans="1:43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Q1201">
        <f t="shared" si="18"/>
        <v>0</v>
      </c>
    </row>
    <row r="1202" spans="1:43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Q1202">
        <f t="shared" si="18"/>
        <v>0</v>
      </c>
    </row>
    <row r="1203" spans="1:43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Q1203">
        <f t="shared" si="18"/>
        <v>1</v>
      </c>
    </row>
    <row r="1204" spans="1:43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Q1204">
        <f t="shared" si="18"/>
        <v>0</v>
      </c>
    </row>
    <row r="1205" spans="1:43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Q1205">
        <f t="shared" si="18"/>
        <v>0</v>
      </c>
    </row>
    <row r="1206" spans="1:43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Q1206">
        <f t="shared" si="18"/>
        <v>1</v>
      </c>
    </row>
    <row r="1207" spans="1:43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Q1207">
        <f t="shared" si="18"/>
        <v>1</v>
      </c>
    </row>
    <row r="1208" spans="1:43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Q1208">
        <f t="shared" si="18"/>
        <v>0</v>
      </c>
    </row>
    <row r="1209" spans="1:43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Q1209">
        <f t="shared" si="18"/>
        <v>0</v>
      </c>
    </row>
    <row r="1210" spans="1:43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Q1210">
        <f t="shared" si="18"/>
        <v>0</v>
      </c>
    </row>
    <row r="1211" spans="1:43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Q1211">
        <f t="shared" si="18"/>
        <v>0</v>
      </c>
    </row>
    <row r="1212" spans="1:43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Q1212">
        <f t="shared" si="18"/>
        <v>0</v>
      </c>
    </row>
    <row r="1213" spans="1:43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Q1213">
        <f t="shared" si="18"/>
        <v>0</v>
      </c>
    </row>
    <row r="1214" spans="1:43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Q1214">
        <f t="shared" si="18"/>
        <v>0</v>
      </c>
    </row>
    <row r="1215" spans="1:43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Q1215">
        <f t="shared" si="18"/>
        <v>1</v>
      </c>
    </row>
    <row r="1216" spans="1:43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Q1216">
        <f t="shared" si="18"/>
        <v>0</v>
      </c>
    </row>
    <row r="1217" spans="1:43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Q1217">
        <f t="shared" si="18"/>
        <v>0</v>
      </c>
    </row>
    <row r="1218" spans="1:43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Q1218">
        <f t="shared" si="18"/>
        <v>0</v>
      </c>
    </row>
    <row r="1219" spans="1:43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Q1219">
        <f t="shared" ref="AQ1219:AQ1282" si="19">IF(B1219="Yes",1,0)</f>
        <v>0</v>
      </c>
    </row>
    <row r="1220" spans="1:43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Q1220">
        <f t="shared" si="19"/>
        <v>0</v>
      </c>
    </row>
    <row r="1221" spans="1:43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Q1221">
        <f t="shared" si="19"/>
        <v>0</v>
      </c>
    </row>
    <row r="1222" spans="1:43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Q1222">
        <f t="shared" si="19"/>
        <v>0</v>
      </c>
    </row>
    <row r="1223" spans="1:43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Q1223">
        <f t="shared" si="19"/>
        <v>0</v>
      </c>
    </row>
    <row r="1224" spans="1:43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Q1224">
        <f t="shared" si="19"/>
        <v>1</v>
      </c>
    </row>
    <row r="1225" spans="1:43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Q1225">
        <f t="shared" si="19"/>
        <v>1</v>
      </c>
    </row>
    <row r="1226" spans="1:43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Q1226">
        <f t="shared" si="19"/>
        <v>0</v>
      </c>
    </row>
    <row r="1227" spans="1:43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Q1227">
        <f t="shared" si="19"/>
        <v>0</v>
      </c>
    </row>
    <row r="1228" spans="1:43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Q1228">
        <f t="shared" si="19"/>
        <v>0</v>
      </c>
    </row>
    <row r="1229" spans="1:43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Q1229">
        <f t="shared" si="19"/>
        <v>0</v>
      </c>
    </row>
    <row r="1230" spans="1:43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Q1230">
        <f t="shared" si="19"/>
        <v>0</v>
      </c>
    </row>
    <row r="1231" spans="1:43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Q1231">
        <f t="shared" si="19"/>
        <v>0</v>
      </c>
    </row>
    <row r="1232" spans="1:43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Q1232">
        <f t="shared" si="19"/>
        <v>0</v>
      </c>
    </row>
    <row r="1233" spans="1:43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Q1233">
        <f t="shared" si="19"/>
        <v>0</v>
      </c>
    </row>
    <row r="1234" spans="1:43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Q1234">
        <f t="shared" si="19"/>
        <v>0</v>
      </c>
    </row>
    <row r="1235" spans="1:43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Q1235">
        <f t="shared" si="19"/>
        <v>0</v>
      </c>
    </row>
    <row r="1236" spans="1:43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Q1236">
        <f t="shared" si="19"/>
        <v>0</v>
      </c>
    </row>
    <row r="1237" spans="1:43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Q1237">
        <f t="shared" si="19"/>
        <v>0</v>
      </c>
    </row>
    <row r="1238" spans="1:43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Q1238">
        <f t="shared" si="19"/>
        <v>1</v>
      </c>
    </row>
    <row r="1239" spans="1:43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Q1239">
        <f t="shared" si="19"/>
        <v>1</v>
      </c>
    </row>
    <row r="1240" spans="1:43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Q1240">
        <f t="shared" si="19"/>
        <v>0</v>
      </c>
    </row>
    <row r="1241" spans="1:43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Q1241">
        <f t="shared" si="19"/>
        <v>0</v>
      </c>
    </row>
    <row r="1242" spans="1:43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Q1242">
        <f t="shared" si="19"/>
        <v>0</v>
      </c>
    </row>
    <row r="1243" spans="1:43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Q1243">
        <f t="shared" si="19"/>
        <v>0</v>
      </c>
    </row>
    <row r="1244" spans="1:43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Q1244">
        <f t="shared" si="19"/>
        <v>0</v>
      </c>
    </row>
    <row r="1245" spans="1:43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Q1245">
        <f t="shared" si="19"/>
        <v>0</v>
      </c>
    </row>
    <row r="1246" spans="1:43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Q1246">
        <f t="shared" si="19"/>
        <v>0</v>
      </c>
    </row>
    <row r="1247" spans="1:43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Q1247">
        <f t="shared" si="19"/>
        <v>0</v>
      </c>
    </row>
    <row r="1248" spans="1:43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Q1248">
        <f t="shared" si="19"/>
        <v>1</v>
      </c>
    </row>
    <row r="1249" spans="1:43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Q1249">
        <f t="shared" si="19"/>
        <v>0</v>
      </c>
    </row>
    <row r="1250" spans="1:43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Q1250">
        <f t="shared" si="19"/>
        <v>0</v>
      </c>
    </row>
    <row r="1251" spans="1:43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Q1251">
        <f t="shared" si="19"/>
        <v>1</v>
      </c>
    </row>
    <row r="1252" spans="1:43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Q1252">
        <f t="shared" si="19"/>
        <v>0</v>
      </c>
    </row>
    <row r="1253" spans="1:43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Q1253">
        <f t="shared" si="19"/>
        <v>0</v>
      </c>
    </row>
    <row r="1254" spans="1:43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Q1254">
        <f t="shared" si="19"/>
        <v>0</v>
      </c>
    </row>
    <row r="1255" spans="1:43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Q1255">
        <f t="shared" si="19"/>
        <v>0</v>
      </c>
    </row>
    <row r="1256" spans="1:43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Q1256">
        <f t="shared" si="19"/>
        <v>0</v>
      </c>
    </row>
    <row r="1257" spans="1:43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Q1257">
        <f t="shared" si="19"/>
        <v>1</v>
      </c>
    </row>
    <row r="1258" spans="1:43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Q1258">
        <f t="shared" si="19"/>
        <v>0</v>
      </c>
    </row>
    <row r="1259" spans="1:43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Q1259">
        <f t="shared" si="19"/>
        <v>1</v>
      </c>
    </row>
    <row r="1260" spans="1:43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Q1260">
        <f t="shared" si="19"/>
        <v>0</v>
      </c>
    </row>
    <row r="1261" spans="1:43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Q1261">
        <f t="shared" si="19"/>
        <v>0</v>
      </c>
    </row>
    <row r="1262" spans="1:43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Q1262">
        <f t="shared" si="19"/>
        <v>0</v>
      </c>
    </row>
    <row r="1263" spans="1:43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Q1263">
        <f t="shared" si="19"/>
        <v>0</v>
      </c>
    </row>
    <row r="1264" spans="1:43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Q1264">
        <f t="shared" si="19"/>
        <v>1</v>
      </c>
    </row>
    <row r="1265" spans="1:43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Q1265">
        <f t="shared" si="19"/>
        <v>0</v>
      </c>
    </row>
    <row r="1266" spans="1:43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Q1266">
        <f t="shared" si="19"/>
        <v>0</v>
      </c>
    </row>
    <row r="1267" spans="1:43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Q1267">
        <f t="shared" si="19"/>
        <v>0</v>
      </c>
    </row>
    <row r="1268" spans="1:43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Q1268">
        <f t="shared" si="19"/>
        <v>0</v>
      </c>
    </row>
    <row r="1269" spans="1:43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Q1269">
        <f t="shared" si="19"/>
        <v>0</v>
      </c>
    </row>
    <row r="1270" spans="1:43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Q1270">
        <f t="shared" si="19"/>
        <v>0</v>
      </c>
    </row>
    <row r="1271" spans="1:43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Q1271">
        <f t="shared" si="19"/>
        <v>0</v>
      </c>
    </row>
    <row r="1272" spans="1:43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Q1272">
        <f t="shared" si="19"/>
        <v>0</v>
      </c>
    </row>
    <row r="1273" spans="1:43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Q1273">
        <f t="shared" si="19"/>
        <v>1</v>
      </c>
    </row>
    <row r="1274" spans="1:43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Q1274">
        <f t="shared" si="19"/>
        <v>0</v>
      </c>
    </row>
    <row r="1275" spans="1:43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Q1275">
        <f t="shared" si="19"/>
        <v>1</v>
      </c>
    </row>
    <row r="1276" spans="1:43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Q1276">
        <f t="shared" si="19"/>
        <v>0</v>
      </c>
    </row>
    <row r="1277" spans="1:43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Q1277">
        <f t="shared" si="19"/>
        <v>0</v>
      </c>
    </row>
    <row r="1278" spans="1:43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Q1278">
        <f t="shared" si="19"/>
        <v>0</v>
      </c>
    </row>
    <row r="1279" spans="1:43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Q1279">
        <f t="shared" si="19"/>
        <v>0</v>
      </c>
    </row>
    <row r="1280" spans="1:43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Q1280">
        <f t="shared" si="19"/>
        <v>0</v>
      </c>
    </row>
    <row r="1281" spans="1:43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Q1281">
        <f t="shared" si="19"/>
        <v>1</v>
      </c>
    </row>
    <row r="1282" spans="1:43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Q1282">
        <f t="shared" si="19"/>
        <v>0</v>
      </c>
    </row>
    <row r="1283" spans="1:43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Q1283">
        <f t="shared" ref="AQ1283:AQ1346" si="20">IF(B1283="Yes",1,0)</f>
        <v>1</v>
      </c>
    </row>
    <row r="1284" spans="1:43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Q1284">
        <f t="shared" si="20"/>
        <v>0</v>
      </c>
    </row>
    <row r="1285" spans="1:43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Q1285">
        <f t="shared" si="20"/>
        <v>0</v>
      </c>
    </row>
    <row r="1286" spans="1:43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Q1286">
        <f t="shared" si="20"/>
        <v>0</v>
      </c>
    </row>
    <row r="1287" spans="1:43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Q1287">
        <f t="shared" si="20"/>
        <v>0</v>
      </c>
    </row>
    <row r="1288" spans="1:43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Q1288">
        <f t="shared" si="20"/>
        <v>0</v>
      </c>
    </row>
    <row r="1289" spans="1:43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Q1289">
        <f t="shared" si="20"/>
        <v>0</v>
      </c>
    </row>
    <row r="1290" spans="1:43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Q1290">
        <f t="shared" si="20"/>
        <v>0</v>
      </c>
    </row>
    <row r="1291" spans="1:43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Q1291">
        <f t="shared" si="20"/>
        <v>0</v>
      </c>
    </row>
    <row r="1292" spans="1:43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Q1292">
        <f t="shared" si="20"/>
        <v>1</v>
      </c>
    </row>
    <row r="1293" spans="1:43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Q1293">
        <f t="shared" si="20"/>
        <v>1</v>
      </c>
    </row>
    <row r="1294" spans="1:43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Q1294">
        <f t="shared" si="20"/>
        <v>0</v>
      </c>
    </row>
    <row r="1295" spans="1:43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Q1295">
        <f t="shared" si="20"/>
        <v>0</v>
      </c>
    </row>
    <row r="1296" spans="1:43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Q1296">
        <f t="shared" si="20"/>
        <v>0</v>
      </c>
    </row>
    <row r="1297" spans="1:43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Q1297">
        <f t="shared" si="20"/>
        <v>0</v>
      </c>
    </row>
    <row r="1298" spans="1:43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Q1298">
        <f t="shared" si="20"/>
        <v>0</v>
      </c>
    </row>
    <row r="1299" spans="1:43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Q1299">
        <f t="shared" si="20"/>
        <v>1</v>
      </c>
    </row>
    <row r="1300" spans="1:43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Q1300">
        <f t="shared" si="20"/>
        <v>1</v>
      </c>
    </row>
    <row r="1301" spans="1:43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Q1301">
        <f t="shared" si="20"/>
        <v>0</v>
      </c>
    </row>
    <row r="1302" spans="1:43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Q1302">
        <f t="shared" si="20"/>
        <v>0</v>
      </c>
    </row>
    <row r="1303" spans="1:43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Q1303">
        <f t="shared" si="20"/>
        <v>0</v>
      </c>
    </row>
    <row r="1304" spans="1:43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Q1304">
        <f t="shared" si="20"/>
        <v>0</v>
      </c>
    </row>
    <row r="1305" spans="1:43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Q1305">
        <f t="shared" si="20"/>
        <v>0</v>
      </c>
    </row>
    <row r="1306" spans="1:43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Q1306">
        <f t="shared" si="20"/>
        <v>0</v>
      </c>
    </row>
    <row r="1307" spans="1:43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Q1307">
        <f t="shared" si="20"/>
        <v>0</v>
      </c>
    </row>
    <row r="1308" spans="1:43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Q1308">
        <f t="shared" si="20"/>
        <v>0</v>
      </c>
    </row>
    <row r="1309" spans="1:43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Q1309">
        <f t="shared" si="20"/>
        <v>0</v>
      </c>
    </row>
    <row r="1310" spans="1:43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Q1310">
        <f t="shared" si="20"/>
        <v>0</v>
      </c>
    </row>
    <row r="1311" spans="1:43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Q1311">
        <f t="shared" si="20"/>
        <v>0</v>
      </c>
    </row>
    <row r="1312" spans="1:43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Q1312">
        <f t="shared" si="20"/>
        <v>0</v>
      </c>
    </row>
    <row r="1313" spans="1:43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Q1313">
        <f t="shared" si="20"/>
        <v>0</v>
      </c>
    </row>
    <row r="1314" spans="1:43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Q1314">
        <f t="shared" si="20"/>
        <v>1</v>
      </c>
    </row>
    <row r="1315" spans="1:43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Q1315">
        <f t="shared" si="20"/>
        <v>1</v>
      </c>
    </row>
    <row r="1316" spans="1:43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Q1316">
        <f t="shared" si="20"/>
        <v>0</v>
      </c>
    </row>
    <row r="1317" spans="1:43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Q1317">
        <f t="shared" si="20"/>
        <v>0</v>
      </c>
    </row>
    <row r="1318" spans="1:43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Q1318">
        <f t="shared" si="20"/>
        <v>0</v>
      </c>
    </row>
    <row r="1319" spans="1:43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Q1319">
        <f t="shared" si="20"/>
        <v>0</v>
      </c>
    </row>
    <row r="1320" spans="1:43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Q1320">
        <f t="shared" si="20"/>
        <v>0</v>
      </c>
    </row>
    <row r="1321" spans="1:43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Q1321">
        <f t="shared" si="20"/>
        <v>0</v>
      </c>
    </row>
    <row r="1322" spans="1:43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Q1322">
        <f t="shared" si="20"/>
        <v>0</v>
      </c>
    </row>
    <row r="1323" spans="1:43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Q1323">
        <f t="shared" si="20"/>
        <v>0</v>
      </c>
    </row>
    <row r="1324" spans="1:43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Q1324">
        <f t="shared" si="20"/>
        <v>0</v>
      </c>
    </row>
    <row r="1325" spans="1:43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Q1325">
        <f t="shared" si="20"/>
        <v>0</v>
      </c>
    </row>
    <row r="1326" spans="1:43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Q1326">
        <f t="shared" si="20"/>
        <v>0</v>
      </c>
    </row>
    <row r="1327" spans="1:43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Q1327">
        <f t="shared" si="20"/>
        <v>0</v>
      </c>
    </row>
    <row r="1328" spans="1:43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Q1328">
        <f t="shared" si="20"/>
        <v>1</v>
      </c>
    </row>
    <row r="1329" spans="1:43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Q1329">
        <f t="shared" si="20"/>
        <v>0</v>
      </c>
    </row>
    <row r="1330" spans="1:43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Q1330">
        <f t="shared" si="20"/>
        <v>0</v>
      </c>
    </row>
    <row r="1331" spans="1:43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Q1331">
        <f t="shared" si="20"/>
        <v>0</v>
      </c>
    </row>
    <row r="1332" spans="1:43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Q1332">
        <f t="shared" si="20"/>
        <v>0</v>
      </c>
    </row>
    <row r="1333" spans="1:43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Q1333">
        <f t="shared" si="20"/>
        <v>0</v>
      </c>
    </row>
    <row r="1334" spans="1:43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Q1334">
        <f t="shared" si="20"/>
        <v>1</v>
      </c>
    </row>
    <row r="1335" spans="1:43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Q1335">
        <f t="shared" si="20"/>
        <v>1</v>
      </c>
    </row>
    <row r="1336" spans="1:43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Q1336">
        <f t="shared" si="20"/>
        <v>0</v>
      </c>
    </row>
    <row r="1337" spans="1:43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Q1337">
        <f t="shared" si="20"/>
        <v>0</v>
      </c>
    </row>
    <row r="1338" spans="1:43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Q1338">
        <f t="shared" si="20"/>
        <v>0</v>
      </c>
    </row>
    <row r="1339" spans="1:43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Q1339">
        <f t="shared" si="20"/>
        <v>0</v>
      </c>
    </row>
    <row r="1340" spans="1:43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Q1340">
        <f t="shared" si="20"/>
        <v>1</v>
      </c>
    </row>
    <row r="1341" spans="1:43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Q1341">
        <f t="shared" si="20"/>
        <v>1</v>
      </c>
    </row>
    <row r="1342" spans="1:43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Q1342">
        <f t="shared" si="20"/>
        <v>0</v>
      </c>
    </row>
    <row r="1343" spans="1:43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Q1343">
        <f t="shared" si="20"/>
        <v>0</v>
      </c>
    </row>
    <row r="1344" spans="1:43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Q1344">
        <f t="shared" si="20"/>
        <v>0</v>
      </c>
    </row>
    <row r="1345" spans="1:43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Q1345">
        <f t="shared" si="20"/>
        <v>0</v>
      </c>
    </row>
    <row r="1346" spans="1:43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Q1346">
        <f t="shared" si="20"/>
        <v>0</v>
      </c>
    </row>
    <row r="1347" spans="1:43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Q1347">
        <f t="shared" ref="AQ1347:AQ1410" si="21">IF(B1347="Yes",1,0)</f>
        <v>0</v>
      </c>
    </row>
    <row r="1348" spans="1:43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Q1348">
        <f t="shared" si="21"/>
        <v>0</v>
      </c>
    </row>
    <row r="1349" spans="1:43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Q1349">
        <f t="shared" si="21"/>
        <v>0</v>
      </c>
    </row>
    <row r="1350" spans="1:43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Q1350">
        <f t="shared" si="21"/>
        <v>0</v>
      </c>
    </row>
    <row r="1351" spans="1:43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Q1351">
        <f t="shared" si="21"/>
        <v>0</v>
      </c>
    </row>
    <row r="1352" spans="1:43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Q1352">
        <f t="shared" si="21"/>
        <v>0</v>
      </c>
    </row>
    <row r="1353" spans="1:43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Q1353">
        <f t="shared" si="21"/>
        <v>0</v>
      </c>
    </row>
    <row r="1354" spans="1:43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Q1354">
        <f t="shared" si="21"/>
        <v>0</v>
      </c>
    </row>
    <row r="1355" spans="1:43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Q1355">
        <f t="shared" si="21"/>
        <v>1</v>
      </c>
    </row>
    <row r="1356" spans="1:43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Q1356">
        <f t="shared" si="21"/>
        <v>1</v>
      </c>
    </row>
    <row r="1357" spans="1:43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Q1357">
        <f t="shared" si="21"/>
        <v>0</v>
      </c>
    </row>
    <row r="1358" spans="1:43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Q1358">
        <f t="shared" si="21"/>
        <v>0</v>
      </c>
    </row>
    <row r="1359" spans="1:43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Q1359">
        <f t="shared" si="21"/>
        <v>0</v>
      </c>
    </row>
    <row r="1360" spans="1:43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Q1360">
        <f t="shared" si="21"/>
        <v>0</v>
      </c>
    </row>
    <row r="1361" spans="1:43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Q1361">
        <f t="shared" si="21"/>
        <v>0</v>
      </c>
    </row>
    <row r="1362" spans="1:43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Q1362">
        <f t="shared" si="21"/>
        <v>0</v>
      </c>
    </row>
    <row r="1363" spans="1:43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Q1363">
        <f t="shared" si="21"/>
        <v>0</v>
      </c>
    </row>
    <row r="1364" spans="1:43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Q1364">
        <f t="shared" si="21"/>
        <v>0</v>
      </c>
    </row>
    <row r="1365" spans="1:43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Q1365">
        <f t="shared" si="21"/>
        <v>0</v>
      </c>
    </row>
    <row r="1366" spans="1:43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Q1366">
        <f t="shared" si="21"/>
        <v>0</v>
      </c>
    </row>
    <row r="1367" spans="1:43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Q1367">
        <f t="shared" si="21"/>
        <v>1</v>
      </c>
    </row>
    <row r="1368" spans="1:43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Q1368">
        <f t="shared" si="21"/>
        <v>0</v>
      </c>
    </row>
    <row r="1369" spans="1:43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Q1369">
        <f t="shared" si="21"/>
        <v>0</v>
      </c>
    </row>
    <row r="1370" spans="1:43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Q1370">
        <f t="shared" si="21"/>
        <v>0</v>
      </c>
    </row>
    <row r="1371" spans="1:43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Q1371">
        <f t="shared" si="21"/>
        <v>1</v>
      </c>
    </row>
    <row r="1372" spans="1:43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Q1372">
        <f t="shared" si="21"/>
        <v>0</v>
      </c>
    </row>
    <row r="1373" spans="1:43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Q1373">
        <f t="shared" si="21"/>
        <v>0</v>
      </c>
    </row>
    <row r="1374" spans="1:43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Q1374">
        <f t="shared" si="21"/>
        <v>0</v>
      </c>
    </row>
    <row r="1375" spans="1:43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Q1375">
        <f t="shared" si="21"/>
        <v>0</v>
      </c>
    </row>
    <row r="1376" spans="1:43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Q1376">
        <f t="shared" si="21"/>
        <v>0</v>
      </c>
    </row>
    <row r="1377" spans="1:43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Q1377">
        <f t="shared" si="21"/>
        <v>1</v>
      </c>
    </row>
    <row r="1378" spans="1:43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Q1378">
        <f t="shared" si="21"/>
        <v>0</v>
      </c>
    </row>
    <row r="1379" spans="1:43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Q1379">
        <f t="shared" si="21"/>
        <v>0</v>
      </c>
    </row>
    <row r="1380" spans="1:43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Q1380">
        <f t="shared" si="21"/>
        <v>0</v>
      </c>
    </row>
    <row r="1381" spans="1:43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Q1381">
        <f t="shared" si="21"/>
        <v>1</v>
      </c>
    </row>
    <row r="1382" spans="1:43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Q1382">
        <f t="shared" si="21"/>
        <v>0</v>
      </c>
    </row>
    <row r="1383" spans="1:43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Q1383">
        <f t="shared" si="21"/>
        <v>0</v>
      </c>
    </row>
    <row r="1384" spans="1:43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Q1384">
        <f t="shared" si="21"/>
        <v>0</v>
      </c>
    </row>
    <row r="1385" spans="1:43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Q1385">
        <f t="shared" si="21"/>
        <v>0</v>
      </c>
    </row>
    <row r="1386" spans="1:43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Q1386">
        <f t="shared" si="21"/>
        <v>0</v>
      </c>
    </row>
    <row r="1387" spans="1:43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Q1387">
        <f t="shared" si="21"/>
        <v>0</v>
      </c>
    </row>
    <row r="1388" spans="1:43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Q1388">
        <f t="shared" si="21"/>
        <v>0</v>
      </c>
    </row>
    <row r="1389" spans="1:43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Q1389">
        <f t="shared" si="21"/>
        <v>0</v>
      </c>
    </row>
    <row r="1390" spans="1:43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Q1390">
        <f t="shared" si="21"/>
        <v>0</v>
      </c>
    </row>
    <row r="1391" spans="1:43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Q1391">
        <f t="shared" si="21"/>
        <v>0</v>
      </c>
    </row>
    <row r="1392" spans="1:43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Q1392">
        <f t="shared" si="21"/>
        <v>1</v>
      </c>
    </row>
    <row r="1393" spans="1:43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Q1393">
        <f t="shared" si="21"/>
        <v>0</v>
      </c>
    </row>
    <row r="1394" spans="1:43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Q1394">
        <f t="shared" si="21"/>
        <v>0</v>
      </c>
    </row>
    <row r="1395" spans="1:43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Q1395">
        <f t="shared" si="21"/>
        <v>0</v>
      </c>
    </row>
    <row r="1396" spans="1:43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Q1396">
        <f t="shared" si="21"/>
        <v>0</v>
      </c>
    </row>
    <row r="1397" spans="1:43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Q1397">
        <f t="shared" si="21"/>
        <v>1</v>
      </c>
    </row>
    <row r="1398" spans="1:43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Q1398">
        <f t="shared" si="21"/>
        <v>1</v>
      </c>
    </row>
    <row r="1399" spans="1:43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Q1399">
        <f t="shared" si="21"/>
        <v>0</v>
      </c>
    </row>
    <row r="1400" spans="1:43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Q1400">
        <f t="shared" si="21"/>
        <v>0</v>
      </c>
    </row>
    <row r="1401" spans="1:43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Q1401">
        <f t="shared" si="21"/>
        <v>0</v>
      </c>
    </row>
    <row r="1402" spans="1:43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Q1402">
        <f t="shared" si="21"/>
        <v>0</v>
      </c>
    </row>
    <row r="1403" spans="1:43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Q1403">
        <f t="shared" si="21"/>
        <v>0</v>
      </c>
    </row>
    <row r="1404" spans="1:43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Q1404">
        <f t="shared" si="21"/>
        <v>0</v>
      </c>
    </row>
    <row r="1405" spans="1:43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Q1405">
        <f t="shared" si="21"/>
        <v>0</v>
      </c>
    </row>
    <row r="1406" spans="1:43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Q1406">
        <f t="shared" si="21"/>
        <v>0</v>
      </c>
    </row>
    <row r="1407" spans="1:43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Q1407">
        <f t="shared" si="21"/>
        <v>0</v>
      </c>
    </row>
    <row r="1408" spans="1:43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Q1408">
        <f t="shared" si="21"/>
        <v>0</v>
      </c>
    </row>
    <row r="1409" spans="1:43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Q1409">
        <f t="shared" si="21"/>
        <v>0</v>
      </c>
    </row>
    <row r="1410" spans="1:43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Q1410">
        <f t="shared" si="21"/>
        <v>0</v>
      </c>
    </row>
    <row r="1411" spans="1:43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Q1411">
        <f t="shared" ref="AQ1411:AQ1471" si="22">IF(B1411="Yes",1,0)</f>
        <v>0</v>
      </c>
    </row>
    <row r="1412" spans="1:43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Q1412">
        <f t="shared" si="22"/>
        <v>0</v>
      </c>
    </row>
    <row r="1413" spans="1:43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Q1413">
        <f t="shared" si="22"/>
        <v>0</v>
      </c>
    </row>
    <row r="1414" spans="1:43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Q1414">
        <f t="shared" si="22"/>
        <v>0</v>
      </c>
    </row>
    <row r="1415" spans="1:43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Q1415">
        <f t="shared" si="22"/>
        <v>0</v>
      </c>
    </row>
    <row r="1416" spans="1:43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Q1416">
        <f t="shared" si="22"/>
        <v>0</v>
      </c>
    </row>
    <row r="1417" spans="1:43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Q1417">
        <f t="shared" si="22"/>
        <v>0</v>
      </c>
    </row>
    <row r="1418" spans="1:43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Q1418">
        <f t="shared" si="22"/>
        <v>0</v>
      </c>
    </row>
    <row r="1419" spans="1:43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Q1419">
        <f t="shared" si="22"/>
        <v>0</v>
      </c>
    </row>
    <row r="1420" spans="1:43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Q1420">
        <f t="shared" si="22"/>
        <v>0</v>
      </c>
    </row>
    <row r="1421" spans="1:43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Q1421">
        <f t="shared" si="22"/>
        <v>0</v>
      </c>
    </row>
    <row r="1422" spans="1:43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Q1422">
        <f t="shared" si="22"/>
        <v>0</v>
      </c>
    </row>
    <row r="1423" spans="1:43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Q1423">
        <f t="shared" si="22"/>
        <v>0</v>
      </c>
    </row>
    <row r="1424" spans="1:43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Q1424">
        <f t="shared" si="22"/>
        <v>0</v>
      </c>
    </row>
    <row r="1425" spans="1:43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Q1425">
        <f t="shared" si="22"/>
        <v>0</v>
      </c>
    </row>
    <row r="1426" spans="1:43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Q1426">
        <f t="shared" si="22"/>
        <v>0</v>
      </c>
    </row>
    <row r="1427" spans="1:43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Q1427">
        <f t="shared" si="22"/>
        <v>0</v>
      </c>
    </row>
    <row r="1428" spans="1:43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Q1428">
        <f t="shared" si="22"/>
        <v>0</v>
      </c>
    </row>
    <row r="1429" spans="1:43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Q1429">
        <f t="shared" si="22"/>
        <v>0</v>
      </c>
    </row>
    <row r="1430" spans="1:43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Q1430">
        <f t="shared" si="22"/>
        <v>0</v>
      </c>
    </row>
    <row r="1431" spans="1:43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Q1431">
        <f t="shared" si="22"/>
        <v>0</v>
      </c>
    </row>
    <row r="1432" spans="1:43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Q1432">
        <f t="shared" si="22"/>
        <v>0</v>
      </c>
    </row>
    <row r="1433" spans="1:43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Q1433">
        <f t="shared" si="22"/>
        <v>0</v>
      </c>
    </row>
    <row r="1434" spans="1:43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Q1434">
        <f t="shared" si="22"/>
        <v>0</v>
      </c>
    </row>
    <row r="1435" spans="1:43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Q1435">
        <f t="shared" si="22"/>
        <v>0</v>
      </c>
    </row>
    <row r="1436" spans="1:43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Q1436">
        <f t="shared" si="22"/>
        <v>0</v>
      </c>
    </row>
    <row r="1437" spans="1:43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Q1437">
        <f t="shared" si="22"/>
        <v>0</v>
      </c>
    </row>
    <row r="1438" spans="1:43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Q1438">
        <f t="shared" si="22"/>
        <v>0</v>
      </c>
    </row>
    <row r="1439" spans="1:43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Q1439">
        <f t="shared" si="22"/>
        <v>0</v>
      </c>
    </row>
    <row r="1440" spans="1:43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Q1440">
        <f t="shared" si="22"/>
        <v>1</v>
      </c>
    </row>
    <row r="1441" spans="1:43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Q1441">
        <f t="shared" si="22"/>
        <v>0</v>
      </c>
    </row>
    <row r="1442" spans="1:43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Q1442">
        <f t="shared" si="22"/>
        <v>0</v>
      </c>
    </row>
    <row r="1443" spans="1:43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Q1443">
        <f t="shared" si="22"/>
        <v>0</v>
      </c>
    </row>
    <row r="1444" spans="1:43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Q1444">
        <f t="shared" si="22"/>
        <v>1</v>
      </c>
    </row>
    <row r="1445" spans="1:43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Q1445">
        <f t="shared" si="22"/>
        <v>0</v>
      </c>
    </row>
    <row r="1446" spans="1:43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Q1446">
        <f t="shared" si="22"/>
        <v>1</v>
      </c>
    </row>
    <row r="1447" spans="1:43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Q1447">
        <f t="shared" si="22"/>
        <v>0</v>
      </c>
    </row>
    <row r="1448" spans="1:43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Q1448">
        <f t="shared" si="22"/>
        <v>0</v>
      </c>
    </row>
    <row r="1449" spans="1:43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Q1449">
        <f t="shared" si="22"/>
        <v>0</v>
      </c>
    </row>
    <row r="1450" spans="1:43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Q1450">
        <f t="shared" si="22"/>
        <v>0</v>
      </c>
    </row>
    <row r="1451" spans="1:43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Q1451">
        <f t="shared" si="22"/>
        <v>0</v>
      </c>
    </row>
    <row r="1452" spans="1:43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Q1452">
        <f t="shared" si="22"/>
        <v>0</v>
      </c>
    </row>
    <row r="1453" spans="1:43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Q1453">
        <f t="shared" si="22"/>
        <v>0</v>
      </c>
    </row>
    <row r="1454" spans="1:43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Q1454">
        <f t="shared" si="22"/>
        <v>1</v>
      </c>
    </row>
    <row r="1455" spans="1:43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Q1455">
        <f t="shared" si="22"/>
        <v>0</v>
      </c>
    </row>
    <row r="1456" spans="1:43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Q1456">
        <f t="shared" si="22"/>
        <v>0</v>
      </c>
    </row>
    <row r="1457" spans="1:43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Q1457">
        <f t="shared" si="22"/>
        <v>0</v>
      </c>
    </row>
    <row r="1458" spans="1:43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Q1458">
        <f t="shared" si="22"/>
        <v>0</v>
      </c>
    </row>
    <row r="1459" spans="1:43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Q1459">
        <f t="shared" si="22"/>
        <v>0</v>
      </c>
    </row>
    <row r="1460" spans="1:43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Q1460">
        <f t="shared" si="22"/>
        <v>0</v>
      </c>
    </row>
    <row r="1461" spans="1:43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Q1461">
        <f t="shared" si="22"/>
        <v>0</v>
      </c>
    </row>
    <row r="1462" spans="1:43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Q1462">
        <f t="shared" si="22"/>
        <v>0</v>
      </c>
    </row>
    <row r="1463" spans="1:43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Q1463">
        <f t="shared" si="22"/>
        <v>1</v>
      </c>
    </row>
    <row r="1464" spans="1:43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Q1464">
        <f t="shared" si="22"/>
        <v>0</v>
      </c>
    </row>
    <row r="1465" spans="1:43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Q1465">
        <f t="shared" si="22"/>
        <v>0</v>
      </c>
    </row>
    <row r="1466" spans="1:43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Q1466">
        <f t="shared" si="22"/>
        <v>0</v>
      </c>
    </row>
    <row r="1467" spans="1:43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Q1467">
        <f t="shared" si="22"/>
        <v>0</v>
      </c>
    </row>
    <row r="1468" spans="1:43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Q1468">
        <f t="shared" si="22"/>
        <v>0</v>
      </c>
    </row>
    <row r="1469" spans="1:43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Q1469">
        <f t="shared" si="22"/>
        <v>0</v>
      </c>
    </row>
    <row r="1470" spans="1:43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Q1470">
        <f t="shared" si="22"/>
        <v>0</v>
      </c>
    </row>
    <row r="1471" spans="1:43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Q1471">
        <f t="shared" si="2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Avg_Monthly_Income</vt:lpstr>
      <vt:lpstr>Distance_vs_Attrition</vt:lpstr>
      <vt:lpstr>Performance_Rating</vt:lpstr>
      <vt:lpstr>Correlation_Analysis</vt:lpstr>
      <vt:lpstr>Insights</vt:lpstr>
      <vt:lpstr>OverTime</vt:lpstr>
      <vt:lpstr>Avg_YearsAtCompany</vt:lpstr>
      <vt:lpstr>JobInvolvement_Attrition</vt:lpstr>
      <vt:lpstr>MaritalStatus_Attrition</vt:lpstr>
      <vt:lpstr>Training_Attrition</vt:lpstr>
      <vt:lpstr>StockOption_Attrition</vt:lpstr>
      <vt:lpstr>BusinessTravel_JobSatisfaction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Mahanand4 Shetty</dc:creator>
  <cp:lastModifiedBy>Mahanand4 Shetty</cp:lastModifiedBy>
  <dcterms:created xsi:type="dcterms:W3CDTF">2026-07-25T10:43:41Z</dcterms:created>
  <dcterms:modified xsi:type="dcterms:W3CDTF">2026-08-27T10:13:23Z</dcterms:modified>
</cp:coreProperties>
</file>